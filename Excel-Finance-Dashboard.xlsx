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ae194acab1f816/Desktop/Excel Finance Dashboard Project/"/>
    </mc:Choice>
  </mc:AlternateContent>
  <xr:revisionPtr revIDLastSave="52" documentId="8_{3ADD1FC6-4502-497D-AAAC-E5A9BE1D0FA1}" xr6:coauthVersionLast="47" xr6:coauthVersionMax="47" xr10:uidLastSave="{1EA93FBB-A8E9-486E-A052-C40F6FD5D41C}"/>
  <bookViews>
    <workbookView xWindow="-108" yWindow="-108" windowWidth="23256" windowHeight="12456" activeTab="3" xr2:uid="{471ABB43-23C5-438D-AF45-27054A906004}"/>
  </bookViews>
  <sheets>
    <sheet name="Settings" sheetId="1" r:id="rId1"/>
    <sheet name="Budget_Planning" sheetId="2" r:id="rId2"/>
    <sheet name="Budget_Tracking" sheetId="3" r:id="rId3"/>
    <sheet name="Budget_Dashboard" sheetId="5" r:id="rId4"/>
    <sheet name="LookUpData" sheetId="6" r:id="rId5"/>
    <sheet name="Calculations" sheetId="4" r:id="rId6"/>
  </sheets>
  <definedNames>
    <definedName name="budget" localSheetId="3">Budget_Dashboard!$L1</definedName>
    <definedName name="budget_range" localSheetId="3">Budget_Dashboard!$Q1</definedName>
    <definedName name="budget_rank" localSheetId="3">Budget_Dashboard!$R1</definedName>
    <definedName name="cc_budget" localSheetId="5">Calculations!$K$54</definedName>
    <definedName name="cc_budget">Calculations!$K1</definedName>
    <definedName name="cc_delta" localSheetId="5">Calculations!$L1</definedName>
    <definedName name="cc_in_focus" localSheetId="5">Calculations!$G1</definedName>
    <definedName name="cc_month_no" localSheetId="5">Calculations!$F1</definedName>
    <definedName name="cc_show_remaining_budget" localSheetId="5">Calculations!$I1</definedName>
    <definedName name="cc_show_type" localSheetId="5">Calculations!$H1</definedName>
    <definedName name="cc_tracked" localSheetId="5">Calculations!$J1</definedName>
    <definedName name="cc_type" localSheetId="5">Calculations!$E1</definedName>
    <definedName name="comb_rank" localSheetId="3">Budget_Dashboard!$S1</definedName>
    <definedName name="comb_rank_norm" localSheetId="3">Budget_Dashboard!$U1</definedName>
    <definedName name="comb_rank_norm_run_range" localSheetId="3">Budget_Dashboard!$V1</definedName>
    <definedName name="comb_rank_range" localSheetId="3">Budget_Dashboard!$T1</definedName>
    <definedName name="comb_rank_unique" localSheetId="3">Budget_Dashboard!$W1</definedName>
    <definedName name="current_date">TODAY()</definedName>
    <definedName name="expenses_header_row">ROW(Expenses[[#Headers],[Expenses]])</definedName>
    <definedName name="expenses_max_row">MAX(ROW(Expenses[]))</definedName>
    <definedName name="expenses_min_row">MIN(ROW(Expenses[]))</definedName>
    <definedName name="expenses_total_row">ROW(Budget_Planning!$C$33)</definedName>
    <definedName name="header_row_id" localSheetId="3">Budget_Dashboard!$D1</definedName>
    <definedName name="income_header_row">ROW(Income[[#Headers],[Income]])</definedName>
    <definedName name="income_max_row">MAX(ROW(Income[]))</definedName>
    <definedName name="income_min_row">MIN(ROW(Income[]))</definedName>
    <definedName name="income_total_row">ROW(Budget_Planning!$C$20)</definedName>
    <definedName name="is_cat" localSheetId="3">Budget_Dashboard!$F1</definedName>
    <definedName name="is_empty" localSheetId="3">Budget_Dashboard!$H1</definedName>
    <definedName name="is_header" localSheetId="3">Budget_Dashboard!$E1</definedName>
    <definedName name="is_total" localSheetId="3">Budget_Dashboard!$G1</definedName>
    <definedName name="item" localSheetId="3">Budget_Dashboard!$J1</definedName>
    <definedName name="out_budget" localSheetId="3">Budget_Dashboard!$AA1</definedName>
    <definedName name="out_percentage_completed" localSheetId="3">Budget_Dashboard!$AB1</definedName>
    <definedName name="out_tracked" localSheetId="3">Budget_Dashboard!$Z1</definedName>
    <definedName name="row_id" localSheetId="3">Budget_Dashboard!$C1</definedName>
    <definedName name="Savings_header_row">ROW(Savings[[#Headers],[Savings]])</definedName>
    <definedName name="savings_max_row">MAX(ROW(Savings[]))</definedName>
    <definedName name="savings_min_row">MIN(ROW(Savings[]))</definedName>
    <definedName name="savings_rate_calculation_type">Settings!$E$22</definedName>
    <definedName name="savings_total_row">ROW(Budget_Planning!$C$46)</definedName>
    <definedName name="Selected_period">Calculations!$E$20</definedName>
    <definedName name="selected_period_display">Calculations!$E$21</definedName>
    <definedName name="Selected_Year">Calculations!$E$19</definedName>
    <definedName name="shift_late_income_starting_day">Settings!$E$17</definedName>
    <definedName name="shift_late_income_status">Settings!$E$15</definedName>
    <definedName name="sort_max_row" localSheetId="3">Budget_Dashboard!$N1</definedName>
    <definedName name="sort_min_row" localSheetId="3">Budget_Dashboard!$M1</definedName>
    <definedName name="starting_year">Budget_Planning!$E$5</definedName>
    <definedName name="tracked" localSheetId="3">Budget_Dashboard!$K1</definedName>
    <definedName name="tracked_range" localSheetId="3">Budget_Dashboard!$O1</definedName>
    <definedName name="tracked_rank" localSheetId="3">Budget_Dashboard!$P1</definedName>
    <definedName name="type" localSheetId="3">Budget_Dashboard!$I1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" i="4" l="1"/>
  <c r="I59" i="4"/>
  <c r="I60" i="4"/>
  <c r="I62" i="4"/>
  <c r="I63" i="4"/>
  <c r="I64" i="4"/>
  <c r="I66" i="4"/>
  <c r="I67" i="4"/>
  <c r="I68" i="4"/>
  <c r="I70" i="4"/>
  <c r="I71" i="4"/>
  <c r="I72" i="4"/>
  <c r="I74" i="4"/>
  <c r="I75" i="4"/>
  <c r="I76" i="4"/>
  <c r="I78" i="4"/>
  <c r="I79" i="4"/>
  <c r="I80" i="4"/>
  <c r="I82" i="4"/>
  <c r="I83" i="4"/>
  <c r="I84" i="4"/>
  <c r="I86" i="4"/>
  <c r="I87" i="4"/>
  <c r="I88" i="4"/>
  <c r="I90" i="4"/>
  <c r="I91" i="4"/>
  <c r="I92" i="4"/>
  <c r="I94" i="4"/>
  <c r="I95" i="4"/>
  <c r="I96" i="4"/>
  <c r="I98" i="4"/>
  <c r="I99" i="4"/>
  <c r="I100" i="4"/>
  <c r="I55" i="4"/>
  <c r="I56" i="4"/>
  <c r="I54" i="4"/>
  <c r="H58" i="4"/>
  <c r="H59" i="4"/>
  <c r="H60" i="4"/>
  <c r="H62" i="4"/>
  <c r="H63" i="4"/>
  <c r="H64" i="4"/>
  <c r="H66" i="4"/>
  <c r="H67" i="4"/>
  <c r="H68" i="4"/>
  <c r="H70" i="4"/>
  <c r="H71" i="4"/>
  <c r="H72" i="4"/>
  <c r="H74" i="4"/>
  <c r="H75" i="4"/>
  <c r="H76" i="4"/>
  <c r="H78" i="4"/>
  <c r="H79" i="4"/>
  <c r="H80" i="4"/>
  <c r="H82" i="4"/>
  <c r="H83" i="4"/>
  <c r="H84" i="4"/>
  <c r="H86" i="4"/>
  <c r="H87" i="4"/>
  <c r="H88" i="4"/>
  <c r="H90" i="4"/>
  <c r="H91" i="4"/>
  <c r="H92" i="4"/>
  <c r="H94" i="4"/>
  <c r="H95" i="4"/>
  <c r="H96" i="4"/>
  <c r="H98" i="4"/>
  <c r="H99" i="4"/>
  <c r="H100" i="4"/>
  <c r="H56" i="4"/>
  <c r="H55" i="4"/>
  <c r="H54" i="4"/>
  <c r="N40" i="4" a="1"/>
  <c r="N40" i="4" s="1"/>
  <c r="F38" i="4" a="1"/>
  <c r="F38" i="4" s="1"/>
  <c r="E38" i="4" s="1" a="1"/>
  <c r="E38" i="4" s="1"/>
  <c r="F39" i="4" a="1"/>
  <c r="F39" i="4" s="1"/>
  <c r="E39" i="4" s="1" a="1"/>
  <c r="E39" i="4" s="1"/>
  <c r="F40" i="4" a="1"/>
  <c r="F40" i="4" s="1"/>
  <c r="AP31" i="5"/>
  <c r="AI30" i="5"/>
  <c r="AI31" i="5"/>
  <c r="AI18" i="5"/>
  <c r="AI17" i="5"/>
  <c r="H56" i="3" a="1"/>
  <c r="H56" i="3" s="1"/>
  <c r="I56" i="3"/>
  <c r="H55" i="3" a="1"/>
  <c r="H55" i="3" s="1"/>
  <c r="I55" i="3"/>
  <c r="H54" i="3" a="1"/>
  <c r="H54" i="3" s="1"/>
  <c r="I54" i="3"/>
  <c r="H53" i="3" a="1"/>
  <c r="H53" i="3" s="1"/>
  <c r="I53" i="3"/>
  <c r="H52" i="3" a="1"/>
  <c r="H52" i="3" s="1"/>
  <c r="I52" i="3"/>
  <c r="H51" i="3" a="1"/>
  <c r="H51" i="3" s="1"/>
  <c r="I51" i="3"/>
  <c r="H50" i="3" a="1"/>
  <c r="H50" i="3" s="1"/>
  <c r="I50" i="3"/>
  <c r="H49" i="3" a="1"/>
  <c r="H49" i="3" s="1"/>
  <c r="I49" i="3"/>
  <c r="H48" i="3" a="1"/>
  <c r="H48" i="3" s="1"/>
  <c r="I48" i="3"/>
  <c r="H47" i="3" a="1"/>
  <c r="H47" i="3" s="1"/>
  <c r="I47" i="3"/>
  <c r="H46" i="3" a="1"/>
  <c r="H46" i="3" s="1"/>
  <c r="I46" i="3"/>
  <c r="H45" i="3" a="1"/>
  <c r="H45" i="3" s="1"/>
  <c r="I45" i="3"/>
  <c r="H44" i="3" a="1"/>
  <c r="H44" i="3" s="1"/>
  <c r="I44" i="3"/>
  <c r="H43" i="3" a="1"/>
  <c r="H43" i="3" s="1"/>
  <c r="I43" i="3"/>
  <c r="H42" i="3" a="1"/>
  <c r="H42" i="3" s="1"/>
  <c r="I42" i="3"/>
  <c r="H41" i="3" a="1"/>
  <c r="H41" i="3" s="1"/>
  <c r="I41" i="3"/>
  <c r="H40" i="3" a="1"/>
  <c r="H40" i="3" s="1"/>
  <c r="I40" i="3"/>
  <c r="H39" i="3" a="1"/>
  <c r="H39" i="3" s="1"/>
  <c r="I39" i="3"/>
  <c r="H38" i="3" a="1"/>
  <c r="H38" i="3" s="1"/>
  <c r="I38" i="3"/>
  <c r="H37" i="3" a="1"/>
  <c r="H37" i="3" s="1"/>
  <c r="I37" i="3"/>
  <c r="H36" i="3" a="1"/>
  <c r="H36" i="3" s="1"/>
  <c r="I36" i="3"/>
  <c r="H35" i="3" a="1"/>
  <c r="H35" i="3" s="1"/>
  <c r="I35" i="3"/>
  <c r="I30" i="3"/>
  <c r="H34" i="3" a="1"/>
  <c r="H34" i="3" s="1"/>
  <c r="I34" i="3"/>
  <c r="H33" i="3" a="1"/>
  <c r="H33" i="3" s="1"/>
  <c r="I33" i="3"/>
  <c r="H32" i="3" a="1"/>
  <c r="H32" i="3" s="1"/>
  <c r="I32" i="3"/>
  <c r="H31" i="3" a="1"/>
  <c r="H31" i="3" s="1"/>
  <c r="I31" i="3"/>
  <c r="H30" i="3" a="1"/>
  <c r="H30" i="3" s="1"/>
  <c r="H29" i="3" a="1"/>
  <c r="H29" i="3" s="1"/>
  <c r="I29" i="3"/>
  <c r="H28" i="3" a="1"/>
  <c r="H28" i="3" s="1"/>
  <c r="I28" i="3"/>
  <c r="H27" i="3" a="1"/>
  <c r="H27" i="3" s="1"/>
  <c r="I27" i="3"/>
  <c r="H26" i="3" a="1"/>
  <c r="H26" i="3" s="1"/>
  <c r="I26" i="3"/>
  <c r="H25" i="3" a="1"/>
  <c r="H25" i="3" s="1"/>
  <c r="I25" i="3"/>
  <c r="H24" i="3" a="1"/>
  <c r="H24" i="3" s="1"/>
  <c r="I24" i="3"/>
  <c r="I22" i="3"/>
  <c r="H22" i="3" a="1"/>
  <c r="H22" i="3" s="1"/>
  <c r="H23" i="3" a="1"/>
  <c r="H23" i="3" s="1"/>
  <c r="I23" i="3"/>
  <c r="I21" i="3"/>
  <c r="H21" i="3" a="1"/>
  <c r="H21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I20" i="3"/>
  <c r="I17" i="3"/>
  <c r="I18" i="3"/>
  <c r="I19" i="3"/>
  <c r="J10" i="5" a="1"/>
  <c r="J10" i="5" s="1"/>
  <c r="H10" i="5"/>
  <c r="G10" i="5" a="1"/>
  <c r="G10" i="5" s="1"/>
  <c r="E10" i="5" a="1"/>
  <c r="E10" i="5" s="1"/>
  <c r="K10" i="5" s="1" a="1"/>
  <c r="K10" i="5" s="1"/>
  <c r="C11" i="5" a="1"/>
  <c r="C11" i="5" s="1"/>
  <c r="H11" i="5" s="1"/>
  <c r="E20" i="4" a="1"/>
  <c r="E20" i="4" s="1"/>
  <c r="E19" i="4" a="1"/>
  <c r="E19" i="4" s="1"/>
  <c r="C9" i="6"/>
  <c r="C10" i="6" s="1"/>
  <c r="C11" i="6" s="1"/>
  <c r="C12" i="6" s="1"/>
  <c r="C13" i="6" s="1"/>
  <c r="C14" i="6" s="1"/>
  <c r="C15" i="6" s="1"/>
  <c r="C16" i="6" s="1"/>
  <c r="C17" i="6" s="1"/>
  <c r="C18" i="6" s="1"/>
  <c r="E9" i="4"/>
  <c r="E12" i="4" a="1"/>
  <c r="E12" i="4" s="1"/>
  <c r="E11" i="4"/>
  <c r="E8" i="4" a="1"/>
  <c r="E8" i="4" s="1"/>
  <c r="I12" i="3"/>
  <c r="I13" i="3"/>
  <c r="I14" i="3"/>
  <c r="I15" i="3"/>
  <c r="I16" i="3"/>
  <c r="H12" i="3" a="1"/>
  <c r="H12" i="3" s="1"/>
  <c r="I20" i="2" a="1"/>
  <c r="I20" i="2" s="1"/>
  <c r="AE35" i="2"/>
  <c r="AS35" i="2" s="1"/>
  <c r="BG35" i="2" s="1"/>
  <c r="BU35" i="2" s="1"/>
  <c r="CI35" i="2" s="1"/>
  <c r="CW35" i="2" s="1"/>
  <c r="DK35" i="2" s="1"/>
  <c r="DY35" i="2" s="1"/>
  <c r="AE22" i="2"/>
  <c r="AS22" i="2" s="1"/>
  <c r="BG22" i="2" s="1"/>
  <c r="BU22" i="2" s="1"/>
  <c r="CI22" i="2" s="1"/>
  <c r="CW22" i="2" s="1"/>
  <c r="DK22" i="2" s="1"/>
  <c r="DY22" i="2" s="1"/>
  <c r="BW9" i="2"/>
  <c r="BX9" i="2"/>
  <c r="BY9" i="2"/>
  <c r="BZ9" i="2"/>
  <c r="CA9" i="2"/>
  <c r="CB9" i="2"/>
  <c r="CC9" i="2"/>
  <c r="CD9" i="2"/>
  <c r="CE9" i="2"/>
  <c r="CF9" i="2"/>
  <c r="CG9" i="2"/>
  <c r="CH9" i="2"/>
  <c r="CK9" i="2"/>
  <c r="CL9" i="2"/>
  <c r="CM9" i="2"/>
  <c r="CN9" i="2"/>
  <c r="CO9" i="2"/>
  <c r="CP9" i="2"/>
  <c r="CQ9" i="2"/>
  <c r="CR9" i="2"/>
  <c r="CS9" i="2"/>
  <c r="CT9" i="2"/>
  <c r="CU9" i="2"/>
  <c r="CV9" i="2"/>
  <c r="CY9" i="2"/>
  <c r="CZ9" i="2"/>
  <c r="DA9" i="2"/>
  <c r="DB9" i="2"/>
  <c r="DC9" i="2"/>
  <c r="DD9" i="2"/>
  <c r="DE9" i="2"/>
  <c r="DF9" i="2"/>
  <c r="DG9" i="2"/>
  <c r="DH9" i="2"/>
  <c r="DI9" i="2"/>
  <c r="DJ9" i="2"/>
  <c r="DM9" i="2"/>
  <c r="DN9" i="2"/>
  <c r="DO9" i="2"/>
  <c r="DP9" i="2"/>
  <c r="DQ9" i="2"/>
  <c r="DR9" i="2"/>
  <c r="DS9" i="2"/>
  <c r="DT9" i="2"/>
  <c r="DU9" i="2"/>
  <c r="DV9" i="2"/>
  <c r="DW9" i="2"/>
  <c r="DX9" i="2"/>
  <c r="CI10" i="2"/>
  <c r="CW10" i="2"/>
  <c r="DK10" i="2"/>
  <c r="DY10" i="2"/>
  <c r="CI11" i="2"/>
  <c r="CW11" i="2"/>
  <c r="DK11" i="2"/>
  <c r="DY11" i="2"/>
  <c r="CI12" i="2"/>
  <c r="CW12" i="2"/>
  <c r="DK12" i="2"/>
  <c r="DY12" i="2"/>
  <c r="CI13" i="2"/>
  <c r="CW13" i="2"/>
  <c r="DK13" i="2"/>
  <c r="DY13" i="2"/>
  <c r="CI14" i="2"/>
  <c r="CW14" i="2"/>
  <c r="DK14" i="2"/>
  <c r="DY14" i="2"/>
  <c r="CI15" i="2"/>
  <c r="CW15" i="2"/>
  <c r="DK15" i="2"/>
  <c r="DY15" i="2"/>
  <c r="CI16" i="2"/>
  <c r="CW16" i="2"/>
  <c r="DK16" i="2"/>
  <c r="DY16" i="2"/>
  <c r="CI17" i="2"/>
  <c r="CW17" i="2"/>
  <c r="DK17" i="2"/>
  <c r="DY17" i="2"/>
  <c r="CI18" i="2"/>
  <c r="CW18" i="2"/>
  <c r="DK18" i="2"/>
  <c r="DY18" i="2"/>
  <c r="CI19" i="2"/>
  <c r="CW19" i="2"/>
  <c r="DK19" i="2"/>
  <c r="DY19" i="2"/>
  <c r="BW20" i="2" a="1"/>
  <c r="BW20" i="2" s="1"/>
  <c r="BX20" i="2" a="1"/>
  <c r="BX20" i="2" s="1"/>
  <c r="BY20" i="2" a="1"/>
  <c r="BY20" i="2" s="1"/>
  <c r="BZ20" i="2" a="1"/>
  <c r="BZ20" i="2" s="1"/>
  <c r="CB20" i="2" a="1"/>
  <c r="CB20" i="2" s="1"/>
  <c r="CC20" i="2" a="1"/>
  <c r="CC20" i="2" s="1"/>
  <c r="CD20" i="2" a="1"/>
  <c r="CD20" i="2" s="1"/>
  <c r="CE20" i="2" a="1"/>
  <c r="CE20" i="2" s="1"/>
  <c r="CF20" i="2" a="1"/>
  <c r="CF20" i="2" s="1"/>
  <c r="CG20" i="2" a="1"/>
  <c r="CG20" i="2" s="1"/>
  <c r="CH20" i="2" a="1"/>
  <c r="CH20" i="2" s="1"/>
  <c r="CK20" i="2" a="1"/>
  <c r="CK20" i="2" s="1"/>
  <c r="CL20" i="2" a="1"/>
  <c r="CL20" i="2" s="1"/>
  <c r="CM20" i="2" a="1"/>
  <c r="CM20" i="2" s="1"/>
  <c r="CN20" i="2" a="1"/>
  <c r="CN20" i="2" s="1"/>
  <c r="CP20" i="2" a="1"/>
  <c r="CP20" i="2" s="1"/>
  <c r="CQ20" i="2" a="1"/>
  <c r="CQ20" i="2" s="1"/>
  <c r="CR20" i="2" a="1"/>
  <c r="CR20" i="2" s="1"/>
  <c r="CS20" i="2" a="1"/>
  <c r="CS20" i="2" s="1"/>
  <c r="CT20" i="2" a="1"/>
  <c r="CT20" i="2" s="1"/>
  <c r="CU20" i="2" a="1"/>
  <c r="CU20" i="2" s="1"/>
  <c r="CV20" i="2" a="1"/>
  <c r="CV20" i="2" s="1"/>
  <c r="CY20" i="2" a="1"/>
  <c r="CY20" i="2" s="1"/>
  <c r="CZ20" i="2" a="1"/>
  <c r="CZ20" i="2" s="1"/>
  <c r="DA20" i="2" a="1"/>
  <c r="DA20" i="2" s="1"/>
  <c r="DB20" i="2" a="1"/>
  <c r="DB20" i="2" s="1"/>
  <c r="DD20" i="2" a="1"/>
  <c r="DD20" i="2" s="1"/>
  <c r="DE20" i="2" a="1"/>
  <c r="DE20" i="2" s="1"/>
  <c r="DF20" i="2" a="1"/>
  <c r="DF20" i="2" s="1"/>
  <c r="DG20" i="2" a="1"/>
  <c r="DG20" i="2" s="1"/>
  <c r="DH20" i="2" a="1"/>
  <c r="DH20" i="2" s="1"/>
  <c r="DI20" i="2" a="1"/>
  <c r="DI20" i="2" s="1"/>
  <c r="DJ20" i="2" a="1"/>
  <c r="DJ20" i="2" s="1"/>
  <c r="DM20" i="2" a="1"/>
  <c r="DM20" i="2" s="1"/>
  <c r="DN20" i="2" a="1"/>
  <c r="DN20" i="2" s="1"/>
  <c r="DO20" i="2" a="1"/>
  <c r="DO20" i="2" s="1"/>
  <c r="DP20" i="2" a="1"/>
  <c r="DP20" i="2" s="1"/>
  <c r="DR20" i="2" a="1"/>
  <c r="DR20" i="2" s="1"/>
  <c r="DS20" i="2" a="1"/>
  <c r="DS20" i="2" s="1"/>
  <c r="DT20" i="2" a="1"/>
  <c r="DT20" i="2" s="1"/>
  <c r="DU20" i="2" a="1"/>
  <c r="DU20" i="2" s="1"/>
  <c r="DV20" i="2" a="1"/>
  <c r="DV20" i="2" s="1"/>
  <c r="DW20" i="2" a="1"/>
  <c r="DW20" i="2" s="1"/>
  <c r="DX20" i="2" a="1"/>
  <c r="DX20" i="2" s="1"/>
  <c r="BW22" i="2"/>
  <c r="BX22" i="2"/>
  <c r="BY22" i="2"/>
  <c r="BZ22" i="2"/>
  <c r="CA22" i="2"/>
  <c r="CB22" i="2"/>
  <c r="CC22" i="2"/>
  <c r="CD22" i="2"/>
  <c r="CE22" i="2"/>
  <c r="CF22" i="2"/>
  <c r="CG22" i="2"/>
  <c r="CH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CI23" i="2"/>
  <c r="CW23" i="2"/>
  <c r="DK23" i="2"/>
  <c r="DY23" i="2"/>
  <c r="CI24" i="2"/>
  <c r="CW24" i="2"/>
  <c r="DK24" i="2"/>
  <c r="DY24" i="2"/>
  <c r="CI25" i="2"/>
  <c r="CW25" i="2"/>
  <c r="DK25" i="2"/>
  <c r="DY25" i="2"/>
  <c r="CI26" i="2"/>
  <c r="CW26" i="2"/>
  <c r="DK26" i="2"/>
  <c r="DY26" i="2"/>
  <c r="CI27" i="2"/>
  <c r="CW27" i="2"/>
  <c r="DK27" i="2"/>
  <c r="DY27" i="2"/>
  <c r="CI28" i="2"/>
  <c r="CW28" i="2"/>
  <c r="DK28" i="2"/>
  <c r="DY28" i="2"/>
  <c r="CI29" i="2"/>
  <c r="CW29" i="2"/>
  <c r="DK29" i="2"/>
  <c r="DY29" i="2"/>
  <c r="CI30" i="2"/>
  <c r="CW30" i="2"/>
  <c r="DK30" i="2"/>
  <c r="DY30" i="2"/>
  <c r="CI31" i="2"/>
  <c r="CW31" i="2"/>
  <c r="DK31" i="2"/>
  <c r="DY31" i="2"/>
  <c r="CI32" i="2"/>
  <c r="CW32" i="2"/>
  <c r="DK32" i="2"/>
  <c r="DY32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CI36" i="2"/>
  <c r="CW36" i="2"/>
  <c r="DK36" i="2"/>
  <c r="DY36" i="2"/>
  <c r="CI37" i="2"/>
  <c r="CW37" i="2"/>
  <c r="DK37" i="2"/>
  <c r="DY37" i="2"/>
  <c r="CI38" i="2"/>
  <c r="CW38" i="2"/>
  <c r="DK38" i="2"/>
  <c r="DY38" i="2"/>
  <c r="CI39" i="2"/>
  <c r="CW39" i="2"/>
  <c r="DK39" i="2"/>
  <c r="DY39" i="2"/>
  <c r="CI40" i="2"/>
  <c r="CW40" i="2"/>
  <c r="DK40" i="2"/>
  <c r="DY40" i="2"/>
  <c r="CI41" i="2"/>
  <c r="CW41" i="2"/>
  <c r="DK41" i="2"/>
  <c r="DY41" i="2"/>
  <c r="CI42" i="2"/>
  <c r="CW42" i="2"/>
  <c r="DK42" i="2"/>
  <c r="DY42" i="2"/>
  <c r="CI43" i="2"/>
  <c r="CW43" i="2"/>
  <c r="DK43" i="2"/>
  <c r="DY43" i="2"/>
  <c r="CI44" i="2"/>
  <c r="CW44" i="2"/>
  <c r="DK44" i="2"/>
  <c r="DY44" i="2"/>
  <c r="CI45" i="2"/>
  <c r="CW45" i="2"/>
  <c r="DK45" i="2"/>
  <c r="DY45" i="2"/>
  <c r="AU9" i="2"/>
  <c r="AV9" i="2"/>
  <c r="AW9" i="2"/>
  <c r="AX9" i="2"/>
  <c r="AY9" i="2"/>
  <c r="AZ9" i="2"/>
  <c r="BA9" i="2"/>
  <c r="BB9" i="2"/>
  <c r="BC9" i="2"/>
  <c r="BD9" i="2"/>
  <c r="BE9" i="2"/>
  <c r="BF9" i="2"/>
  <c r="BI9" i="2"/>
  <c r="BJ9" i="2"/>
  <c r="BK9" i="2"/>
  <c r="BL9" i="2"/>
  <c r="BM9" i="2"/>
  <c r="BN9" i="2"/>
  <c r="BO9" i="2"/>
  <c r="BP9" i="2"/>
  <c r="BQ9" i="2"/>
  <c r="BR9" i="2"/>
  <c r="BS9" i="2"/>
  <c r="BT9" i="2"/>
  <c r="BG10" i="2"/>
  <c r="BU10" i="2"/>
  <c r="BG11" i="2"/>
  <c r="BU11" i="2"/>
  <c r="BG12" i="2"/>
  <c r="BU12" i="2"/>
  <c r="BG13" i="2"/>
  <c r="BU13" i="2"/>
  <c r="BG14" i="2"/>
  <c r="BU14" i="2"/>
  <c r="BG15" i="2"/>
  <c r="BU15" i="2"/>
  <c r="BG16" i="2"/>
  <c r="BU16" i="2"/>
  <c r="BG17" i="2"/>
  <c r="BU17" i="2"/>
  <c r="BG18" i="2"/>
  <c r="BU18" i="2"/>
  <c r="BG19" i="2"/>
  <c r="BU19" i="2"/>
  <c r="AU20" i="2" a="1"/>
  <c r="AU20" i="2" s="1"/>
  <c r="AV20" i="2" a="1"/>
  <c r="AV20" i="2" s="1"/>
  <c r="AW20" i="2" a="1"/>
  <c r="AW20" i="2" s="1"/>
  <c r="AX20" i="2" a="1"/>
  <c r="AX20" i="2" s="1"/>
  <c r="AZ20" i="2" a="1"/>
  <c r="AZ20" i="2" s="1"/>
  <c r="BA20" i="2" a="1"/>
  <c r="BA20" i="2" s="1"/>
  <c r="BB20" i="2" a="1"/>
  <c r="BB20" i="2" s="1"/>
  <c r="BC20" i="2" a="1"/>
  <c r="BC20" i="2" s="1"/>
  <c r="BD20" i="2" a="1"/>
  <c r="BD20" i="2" s="1"/>
  <c r="BE20" i="2" a="1"/>
  <c r="BE20" i="2" s="1"/>
  <c r="BF20" i="2" a="1"/>
  <c r="BF20" i="2" s="1"/>
  <c r="BI20" i="2" a="1"/>
  <c r="BI20" i="2" s="1"/>
  <c r="BJ20" i="2" a="1"/>
  <c r="BJ20" i="2" s="1"/>
  <c r="BK20" i="2" a="1"/>
  <c r="BK20" i="2" s="1"/>
  <c r="BL20" i="2" a="1"/>
  <c r="BL20" i="2" s="1"/>
  <c r="BN20" i="2" a="1"/>
  <c r="BN20" i="2" s="1"/>
  <c r="BO20" i="2" a="1"/>
  <c r="BO20" i="2" s="1"/>
  <c r="BP20" i="2" a="1"/>
  <c r="BP20" i="2" s="1"/>
  <c r="BQ20" i="2" a="1"/>
  <c r="BQ20" i="2" s="1"/>
  <c r="BR20" i="2" a="1"/>
  <c r="BR20" i="2" s="1"/>
  <c r="BS20" i="2" a="1"/>
  <c r="BS20" i="2" s="1"/>
  <c r="BT20" i="2" a="1"/>
  <c r="BT20" i="2" s="1"/>
  <c r="AU22" i="2"/>
  <c r="AV22" i="2"/>
  <c r="AW22" i="2"/>
  <c r="AX22" i="2"/>
  <c r="AY22" i="2"/>
  <c r="AZ22" i="2"/>
  <c r="BA22" i="2"/>
  <c r="BB22" i="2"/>
  <c r="BC22" i="2"/>
  <c r="BD22" i="2"/>
  <c r="BE22" i="2"/>
  <c r="BF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G23" i="2"/>
  <c r="BU23" i="2"/>
  <c r="BG24" i="2"/>
  <c r="BU24" i="2"/>
  <c r="BG25" i="2"/>
  <c r="BU25" i="2"/>
  <c r="BG26" i="2"/>
  <c r="BU26" i="2"/>
  <c r="BG27" i="2"/>
  <c r="BU27" i="2"/>
  <c r="BG28" i="2"/>
  <c r="BU28" i="2"/>
  <c r="BG29" i="2"/>
  <c r="BU29" i="2"/>
  <c r="BG30" i="2"/>
  <c r="BU30" i="2"/>
  <c r="BG31" i="2"/>
  <c r="BU31" i="2"/>
  <c r="BG32" i="2"/>
  <c r="BU32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G36" i="2"/>
  <c r="BU36" i="2"/>
  <c r="BG37" i="2"/>
  <c r="BU37" i="2"/>
  <c r="BG38" i="2"/>
  <c r="BU38" i="2"/>
  <c r="BG39" i="2"/>
  <c r="BU39" i="2"/>
  <c r="BG40" i="2"/>
  <c r="BU40" i="2"/>
  <c r="BG41" i="2"/>
  <c r="BU41" i="2"/>
  <c r="BG42" i="2"/>
  <c r="BU42" i="2"/>
  <c r="BG43" i="2"/>
  <c r="BU43" i="2"/>
  <c r="BG44" i="2"/>
  <c r="BU44" i="2"/>
  <c r="BG45" i="2"/>
  <c r="BU45" i="2"/>
  <c r="AG9" i="2"/>
  <c r="AH9" i="2"/>
  <c r="AI9" i="2"/>
  <c r="AJ9" i="2"/>
  <c r="AK9" i="2"/>
  <c r="AL9" i="2"/>
  <c r="AM9" i="2"/>
  <c r="AN9" i="2"/>
  <c r="AO9" i="2"/>
  <c r="AP9" i="2"/>
  <c r="AQ9" i="2"/>
  <c r="AR9" i="2"/>
  <c r="AS10" i="2"/>
  <c r="AS11" i="2"/>
  <c r="AS12" i="2"/>
  <c r="AS13" i="2"/>
  <c r="AS14" i="2"/>
  <c r="AS15" i="2"/>
  <c r="AS16" i="2"/>
  <c r="AS17" i="2"/>
  <c r="AS18" i="2"/>
  <c r="AS19" i="2"/>
  <c r="AG20" i="2" a="1"/>
  <c r="AG20" i="2" s="1"/>
  <c r="AH20" i="2" a="1"/>
  <c r="AH20" i="2" s="1"/>
  <c r="AI20" i="2" a="1"/>
  <c r="AI20" i="2" s="1"/>
  <c r="AJ20" i="2" a="1"/>
  <c r="AJ20" i="2" s="1"/>
  <c r="AL20" i="2" a="1"/>
  <c r="AL20" i="2" s="1"/>
  <c r="AM20" i="2" a="1"/>
  <c r="AM20" i="2" s="1"/>
  <c r="AN20" i="2" a="1"/>
  <c r="AN20" i="2" s="1"/>
  <c r="AO20" i="2" a="1"/>
  <c r="AO20" i="2" s="1"/>
  <c r="AP20" i="2" a="1"/>
  <c r="AP20" i="2" s="1"/>
  <c r="AQ20" i="2" a="1"/>
  <c r="AQ20" i="2" s="1"/>
  <c r="AR20" i="2" a="1"/>
  <c r="AR20" i="2" s="1"/>
  <c r="AG22" i="2"/>
  <c r="AH22" i="2"/>
  <c r="AI22" i="2"/>
  <c r="AJ22" i="2"/>
  <c r="AK22" i="2"/>
  <c r="AL22" i="2"/>
  <c r="AM22" i="2"/>
  <c r="AN22" i="2"/>
  <c r="AO22" i="2"/>
  <c r="AP22" i="2"/>
  <c r="AQ22" i="2"/>
  <c r="AR22" i="2"/>
  <c r="AS23" i="2"/>
  <c r="AS24" i="2"/>
  <c r="AS25" i="2"/>
  <c r="AS26" i="2"/>
  <c r="AS27" i="2"/>
  <c r="AS28" i="2"/>
  <c r="AS29" i="2"/>
  <c r="AS30" i="2"/>
  <c r="AS31" i="2"/>
  <c r="AS32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6" i="2"/>
  <c r="AS37" i="2"/>
  <c r="AS38" i="2"/>
  <c r="AS39" i="2"/>
  <c r="AS40" i="2"/>
  <c r="AS41" i="2"/>
  <c r="AS42" i="2"/>
  <c r="AS43" i="2"/>
  <c r="AS44" i="2"/>
  <c r="AS45" i="2"/>
  <c r="S9" i="2"/>
  <c r="T9" i="2"/>
  <c r="U9" i="2"/>
  <c r="V9" i="2"/>
  <c r="W9" i="2"/>
  <c r="X9" i="2"/>
  <c r="Y9" i="2"/>
  <c r="Z9" i="2"/>
  <c r="AA9" i="2"/>
  <c r="AB9" i="2"/>
  <c r="AC9" i="2"/>
  <c r="AD9" i="2"/>
  <c r="AE10" i="2"/>
  <c r="AE11" i="2"/>
  <c r="AE12" i="2"/>
  <c r="AE13" i="2"/>
  <c r="AE14" i="2"/>
  <c r="AE15" i="2"/>
  <c r="AE16" i="2"/>
  <c r="AE17" i="2"/>
  <c r="AE18" i="2"/>
  <c r="AE19" i="2"/>
  <c r="S20" i="2" a="1"/>
  <c r="S20" i="2" s="1"/>
  <c r="T20" i="2" a="1"/>
  <c r="T20" i="2" s="1"/>
  <c r="U20" i="2" a="1"/>
  <c r="U20" i="2" s="1"/>
  <c r="V20" i="2" a="1"/>
  <c r="V20" i="2" s="1"/>
  <c r="X20" i="2" a="1"/>
  <c r="X20" i="2" s="1"/>
  <c r="Y20" i="2" a="1"/>
  <c r="Y20" i="2" s="1"/>
  <c r="Z20" i="2" a="1"/>
  <c r="Z20" i="2" s="1"/>
  <c r="AA20" i="2" a="1"/>
  <c r="AA20" i="2" s="1"/>
  <c r="AB20" i="2" a="1"/>
  <c r="AB20" i="2" s="1"/>
  <c r="AC20" i="2" a="1"/>
  <c r="AC20" i="2" s="1"/>
  <c r="AD20" i="2" a="1"/>
  <c r="AD20" i="2" s="1"/>
  <c r="S22" i="2"/>
  <c r="T22" i="2"/>
  <c r="U22" i="2"/>
  <c r="V22" i="2"/>
  <c r="W22" i="2"/>
  <c r="X22" i="2"/>
  <c r="Y22" i="2"/>
  <c r="Z22" i="2"/>
  <c r="AA22" i="2"/>
  <c r="AB22" i="2"/>
  <c r="AC22" i="2"/>
  <c r="AD22" i="2"/>
  <c r="AE23" i="2"/>
  <c r="AE24" i="2"/>
  <c r="AE25" i="2"/>
  <c r="AE26" i="2"/>
  <c r="AE27" i="2"/>
  <c r="AE28" i="2"/>
  <c r="AE29" i="2"/>
  <c r="AE30" i="2"/>
  <c r="AE31" i="2"/>
  <c r="AE32" i="2"/>
  <c r="S35" i="2"/>
  <c r="T35" i="2"/>
  <c r="U35" i="2"/>
  <c r="V35" i="2"/>
  <c r="W35" i="2"/>
  <c r="X35" i="2"/>
  <c r="Y35" i="2"/>
  <c r="Z35" i="2"/>
  <c r="AA35" i="2"/>
  <c r="AB35" i="2"/>
  <c r="AC35" i="2"/>
  <c r="AD35" i="2"/>
  <c r="AE36" i="2"/>
  <c r="AE37" i="2"/>
  <c r="AE38" i="2"/>
  <c r="AE39" i="2"/>
  <c r="AE40" i="2"/>
  <c r="AE41" i="2"/>
  <c r="AE42" i="2"/>
  <c r="AE43" i="2"/>
  <c r="AE44" i="2"/>
  <c r="AE45" i="2"/>
  <c r="Q37" i="2"/>
  <c r="Q38" i="2"/>
  <c r="Q39" i="2"/>
  <c r="Q40" i="2"/>
  <c r="Q41" i="2"/>
  <c r="Q42" i="2"/>
  <c r="Q43" i="2"/>
  <c r="Q44" i="2"/>
  <c r="Q45" i="2"/>
  <c r="Q36" i="2"/>
  <c r="Q24" i="2"/>
  <c r="Q25" i="2"/>
  <c r="Q26" i="2"/>
  <c r="Q27" i="2"/>
  <c r="Q28" i="2"/>
  <c r="Q29" i="2"/>
  <c r="Q30" i="2"/>
  <c r="Q31" i="2"/>
  <c r="Q32" i="2"/>
  <c r="Q23" i="2"/>
  <c r="Q10" i="2"/>
  <c r="Q12" i="2"/>
  <c r="Q13" i="2"/>
  <c r="Q14" i="2"/>
  <c r="Q15" i="2"/>
  <c r="Q16" i="2"/>
  <c r="Q17" i="2"/>
  <c r="Q18" i="2"/>
  <c r="Q19" i="2"/>
  <c r="E20" i="2" a="1"/>
  <c r="E20" i="2" s="1"/>
  <c r="P35" i="2"/>
  <c r="O35" i="2"/>
  <c r="N35" i="2"/>
  <c r="M35" i="2"/>
  <c r="L35" i="2"/>
  <c r="K35" i="2"/>
  <c r="J35" i="2"/>
  <c r="I35" i="2"/>
  <c r="H35" i="2"/>
  <c r="G35" i="2"/>
  <c r="F35" i="2"/>
  <c r="E35" i="2"/>
  <c r="P22" i="2"/>
  <c r="O22" i="2"/>
  <c r="N22" i="2"/>
  <c r="M22" i="2"/>
  <c r="L22" i="2"/>
  <c r="K22" i="2"/>
  <c r="J22" i="2"/>
  <c r="I22" i="2"/>
  <c r="H22" i="2"/>
  <c r="G22" i="2"/>
  <c r="F22" i="2"/>
  <c r="E22" i="2"/>
  <c r="F20" i="2" a="1"/>
  <c r="F20" i="2" s="1"/>
  <c r="G20" i="2" a="1"/>
  <c r="G20" i="2" s="1"/>
  <c r="H20" i="2" a="1"/>
  <c r="H20" i="2" s="1"/>
  <c r="J20" i="2" a="1"/>
  <c r="J20" i="2" s="1"/>
  <c r="K20" i="2" a="1"/>
  <c r="K20" i="2" s="1"/>
  <c r="L20" i="2" a="1"/>
  <c r="L20" i="2" s="1"/>
  <c r="M20" i="2" a="1"/>
  <c r="M20" i="2" s="1"/>
  <c r="N20" i="2" a="1"/>
  <c r="N20" i="2" s="1"/>
  <c r="O20" i="2" a="1"/>
  <c r="O20" i="2" s="1"/>
  <c r="P20" i="2" a="1"/>
  <c r="P20" i="2" s="1"/>
  <c r="Q11" i="2"/>
  <c r="P9" i="2"/>
  <c r="O9" i="2"/>
  <c r="N9" i="2"/>
  <c r="M9" i="2"/>
  <c r="L9" i="2"/>
  <c r="K9" i="2"/>
  <c r="J9" i="2"/>
  <c r="I9" i="2"/>
  <c r="H9" i="2"/>
  <c r="G9" i="2"/>
  <c r="F9" i="2"/>
  <c r="E9" i="2"/>
  <c r="Q9" i="2"/>
  <c r="AE9" i="2" s="1"/>
  <c r="AS9" i="2" s="1"/>
  <c r="BG9" i="2" s="1"/>
  <c r="BU9" i="2" s="1"/>
  <c r="CI9" i="2" s="1"/>
  <c r="CW9" i="2" s="1"/>
  <c r="DK9" i="2" s="1"/>
  <c r="DY9" i="2" s="1"/>
  <c r="E22" i="4" l="1"/>
  <c r="E23" i="4" s="1" a="1"/>
  <c r="E23" i="4" s="1"/>
  <c r="E24" i="4" s="1"/>
  <c r="D98" i="4"/>
  <c r="D94" i="4"/>
  <c r="D90" i="4"/>
  <c r="D86" i="4"/>
  <c r="D82" i="4"/>
  <c r="D78" i="4"/>
  <c r="D74" i="4"/>
  <c r="D70" i="4"/>
  <c r="D66" i="4"/>
  <c r="D62" i="4"/>
  <c r="D58" i="4"/>
  <c r="D54" i="4"/>
  <c r="L10" i="5" a="1"/>
  <c r="L10" i="5" s="1"/>
  <c r="F10" i="5"/>
  <c r="D10" i="5"/>
  <c r="I10" i="5" s="1" a="1"/>
  <c r="I10" i="5" s="1"/>
  <c r="G11" i="5" a="1"/>
  <c r="G11" i="5" s="1"/>
  <c r="E11" i="5" a="1"/>
  <c r="E11" i="5" s="1"/>
  <c r="L11" i="5" s="1" a="1"/>
  <c r="L11" i="5" s="1"/>
  <c r="C12" i="5" a="1"/>
  <c r="C12" i="5" s="1"/>
  <c r="J11" i="5" a="1"/>
  <c r="J11" i="5" s="1"/>
  <c r="E21" i="4"/>
  <c r="E10" i="4"/>
  <c r="E13" i="4"/>
  <c r="E14" i="4" s="1"/>
  <c r="CI20" i="2"/>
  <c r="CW20" i="2"/>
  <c r="DK20" i="2"/>
  <c r="DY20" i="2"/>
  <c r="BG20" i="2"/>
  <c r="BU20" i="2"/>
  <c r="AS20" i="2"/>
  <c r="AE20" i="2"/>
  <c r="Q20" i="2"/>
  <c r="F100" i="4" l="1"/>
  <c r="F99" i="4"/>
  <c r="F98" i="4"/>
  <c r="F96" i="4"/>
  <c r="F95" i="4"/>
  <c r="F94" i="4"/>
  <c r="F92" i="4"/>
  <c r="F91" i="4"/>
  <c r="F90" i="4"/>
  <c r="F88" i="4"/>
  <c r="F87" i="4"/>
  <c r="F86" i="4"/>
  <c r="F84" i="4"/>
  <c r="F83" i="4"/>
  <c r="F82" i="4"/>
  <c r="F80" i="4"/>
  <c r="F79" i="4"/>
  <c r="F78" i="4"/>
  <c r="F76" i="4"/>
  <c r="F75" i="4"/>
  <c r="F74" i="4"/>
  <c r="F72" i="4"/>
  <c r="F71" i="4"/>
  <c r="F70" i="4"/>
  <c r="F68" i="4"/>
  <c r="F67" i="4"/>
  <c r="F66" i="4"/>
  <c r="F64" i="4"/>
  <c r="F63" i="4"/>
  <c r="F62" i="4"/>
  <c r="F60" i="4"/>
  <c r="F59" i="4"/>
  <c r="F58" i="4"/>
  <c r="F54" i="4"/>
  <c r="F55" i="4"/>
  <c r="F56" i="4"/>
  <c r="N10" i="5" a="1"/>
  <c r="N10" i="5" s="1"/>
  <c r="O10" i="5"/>
  <c r="P10" i="5"/>
  <c r="Q10" i="5"/>
  <c r="U10" i="5"/>
  <c r="V10" i="5"/>
  <c r="W10" i="5"/>
  <c r="X10" i="5"/>
  <c r="S10" i="5"/>
  <c r="R10" i="5"/>
  <c r="F11" i="5"/>
  <c r="D11" i="5"/>
  <c r="E12" i="5" a="1"/>
  <c r="E12" i="5" s="1"/>
  <c r="G12" i="5" a="1"/>
  <c r="G12" i="5" s="1"/>
  <c r="H12" i="5"/>
  <c r="C13" i="5" a="1"/>
  <c r="C13" i="5" s="1"/>
  <c r="J13" i="5" s="1" a="1"/>
  <c r="J13" i="5" s="1"/>
  <c r="J12" i="5" a="1"/>
  <c r="J12" i="5" s="1"/>
  <c r="AF8" i="5"/>
  <c r="Y8" i="5"/>
  <c r="CB46" i="2" a="1"/>
  <c r="CB46" i="2" s="1"/>
  <c r="CC46" i="2" a="1"/>
  <c r="CC46" i="2" s="1"/>
  <c r="CD46" i="2" a="1"/>
  <c r="CD46" i="2" s="1"/>
  <c r="CE46" i="2" a="1"/>
  <c r="CE46" i="2" s="1"/>
  <c r="CF46" i="2" a="1"/>
  <c r="CF46" i="2" s="1"/>
  <c r="CG46" i="2" a="1"/>
  <c r="CG46" i="2" s="1"/>
  <c r="CH46" i="2" a="1"/>
  <c r="CH46" i="2" s="1"/>
  <c r="CK46" i="2" a="1"/>
  <c r="CK46" i="2" s="1"/>
  <c r="CL46" i="2" a="1"/>
  <c r="CL46" i="2" s="1"/>
  <c r="CM46" i="2" a="1"/>
  <c r="CM46" i="2" s="1"/>
  <c r="CN46" i="2" a="1"/>
  <c r="CN46" i="2" s="1"/>
  <c r="CO46" i="2" a="1"/>
  <c r="CO46" i="2" s="1"/>
  <c r="CP46" i="2" a="1"/>
  <c r="CP46" i="2" s="1"/>
  <c r="CQ46" i="2" a="1"/>
  <c r="CQ46" i="2" s="1"/>
  <c r="CR46" i="2" a="1"/>
  <c r="CR46" i="2" s="1"/>
  <c r="CS46" i="2" a="1"/>
  <c r="CS46" i="2" s="1"/>
  <c r="CT46" i="2" a="1"/>
  <c r="CT46" i="2" s="1"/>
  <c r="CU46" i="2" a="1"/>
  <c r="CU46" i="2" s="1"/>
  <c r="CV46" i="2" a="1"/>
  <c r="CV46" i="2" s="1"/>
  <c r="CY46" i="2" a="1"/>
  <c r="CY46" i="2" s="1"/>
  <c r="CZ46" i="2" a="1"/>
  <c r="CZ46" i="2" s="1"/>
  <c r="DA46" i="2" a="1"/>
  <c r="DA46" i="2" s="1"/>
  <c r="DB46" i="2" a="1"/>
  <c r="DB46" i="2" s="1"/>
  <c r="DC46" i="2" a="1"/>
  <c r="DC46" i="2" s="1"/>
  <c r="DD46" i="2" a="1"/>
  <c r="DD46" i="2" s="1"/>
  <c r="DE46" i="2" a="1"/>
  <c r="DE46" i="2" s="1"/>
  <c r="DF46" i="2" a="1"/>
  <c r="DF46" i="2" s="1"/>
  <c r="DG46" i="2" a="1"/>
  <c r="DG46" i="2" s="1"/>
  <c r="DH46" i="2" a="1"/>
  <c r="DH46" i="2" s="1"/>
  <c r="DI46" i="2" a="1"/>
  <c r="DI46" i="2" s="1"/>
  <c r="DJ46" i="2" a="1"/>
  <c r="DJ46" i="2" s="1"/>
  <c r="DM46" i="2" a="1"/>
  <c r="DM46" i="2" s="1"/>
  <c r="DN46" i="2" a="1"/>
  <c r="DN46" i="2" s="1"/>
  <c r="DO46" i="2" a="1"/>
  <c r="DO46" i="2" s="1"/>
  <c r="DP46" i="2" a="1"/>
  <c r="DP46" i="2" s="1"/>
  <c r="DQ46" i="2" a="1"/>
  <c r="DQ46" i="2" s="1"/>
  <c r="DR46" i="2" a="1"/>
  <c r="DR46" i="2" s="1"/>
  <c r="DS46" i="2" a="1"/>
  <c r="DS46" i="2" s="1"/>
  <c r="DT46" i="2" a="1"/>
  <c r="DT46" i="2" s="1"/>
  <c r="DU46" i="2" a="1"/>
  <c r="DU46" i="2" s="1"/>
  <c r="DV46" i="2" a="1"/>
  <c r="DV46" i="2" s="1"/>
  <c r="DW46" i="2" a="1"/>
  <c r="DW46" i="2" s="1"/>
  <c r="DX46" i="2" a="1"/>
  <c r="DX46" i="2" s="1"/>
  <c r="AU46" i="2" a="1"/>
  <c r="AU46" i="2" s="1"/>
  <c r="AV46" i="2" a="1"/>
  <c r="AV46" i="2" s="1"/>
  <c r="AW46" i="2" a="1"/>
  <c r="AW46" i="2" s="1"/>
  <c r="AX46" i="2" a="1"/>
  <c r="AX46" i="2" s="1"/>
  <c r="AY46" i="2" a="1"/>
  <c r="AY46" i="2" s="1"/>
  <c r="AZ46" i="2" a="1"/>
  <c r="AZ46" i="2" s="1"/>
  <c r="BA46" i="2" a="1"/>
  <c r="BA46" i="2" s="1"/>
  <c r="BB46" i="2" a="1"/>
  <c r="BB46" i="2" s="1"/>
  <c r="BC46" i="2" a="1"/>
  <c r="BC46" i="2" s="1"/>
  <c r="BD46" i="2" a="1"/>
  <c r="BD46" i="2" s="1"/>
  <c r="BE46" i="2" a="1"/>
  <c r="BE46" i="2" s="1"/>
  <c r="BF46" i="2" a="1"/>
  <c r="BF46" i="2" s="1"/>
  <c r="BI46" i="2" a="1"/>
  <c r="BI46" i="2" s="1"/>
  <c r="BJ46" i="2" a="1"/>
  <c r="BJ46" i="2" s="1"/>
  <c r="BK46" i="2" a="1"/>
  <c r="BK46" i="2" s="1"/>
  <c r="BL46" i="2" a="1"/>
  <c r="BL46" i="2" s="1"/>
  <c r="BM46" i="2" a="1"/>
  <c r="BM46" i="2" s="1"/>
  <c r="BN46" i="2" a="1"/>
  <c r="BN46" i="2" s="1"/>
  <c r="BO46" i="2" a="1"/>
  <c r="BO46" i="2" s="1"/>
  <c r="BP46" i="2" a="1"/>
  <c r="BP46" i="2" s="1"/>
  <c r="BQ46" i="2" a="1"/>
  <c r="BQ46" i="2" s="1"/>
  <c r="BR46" i="2" a="1"/>
  <c r="BR46" i="2" s="1"/>
  <c r="BS46" i="2" a="1"/>
  <c r="BS46" i="2" s="1"/>
  <c r="BT46" i="2" a="1"/>
  <c r="BT46" i="2" s="1"/>
  <c r="AG46" i="2" a="1"/>
  <c r="AG46" i="2" s="1"/>
  <c r="AH46" i="2" a="1"/>
  <c r="AH46" i="2" s="1"/>
  <c r="AI46" i="2" a="1"/>
  <c r="AI46" i="2" s="1"/>
  <c r="AJ46" i="2" a="1"/>
  <c r="AJ46" i="2" s="1"/>
  <c r="AK46" i="2" a="1"/>
  <c r="AK46" i="2" s="1"/>
  <c r="AL46" i="2" a="1"/>
  <c r="AL46" i="2" s="1"/>
  <c r="AM46" i="2" a="1"/>
  <c r="AM46" i="2" s="1"/>
  <c r="AN46" i="2" a="1"/>
  <c r="AN46" i="2" s="1"/>
  <c r="AO46" i="2" a="1"/>
  <c r="AO46" i="2" s="1"/>
  <c r="AP46" i="2" a="1"/>
  <c r="AP46" i="2" s="1"/>
  <c r="AQ46" i="2" a="1"/>
  <c r="AQ46" i="2" s="1"/>
  <c r="AR46" i="2" a="1"/>
  <c r="AR46" i="2" s="1"/>
  <c r="S46" i="2" a="1"/>
  <c r="S46" i="2" s="1"/>
  <c r="T46" i="2" a="1"/>
  <c r="T46" i="2" s="1"/>
  <c r="U46" i="2" a="1"/>
  <c r="U46" i="2" s="1"/>
  <c r="V46" i="2" a="1"/>
  <c r="V46" i="2" s="1"/>
  <c r="W46" i="2" a="1"/>
  <c r="W46" i="2" s="1"/>
  <c r="X46" i="2" a="1"/>
  <c r="X46" i="2" s="1"/>
  <c r="Y46" i="2" a="1"/>
  <c r="Y46" i="2" s="1"/>
  <c r="Z46" i="2" a="1"/>
  <c r="Z46" i="2" s="1"/>
  <c r="AA46" i="2" a="1"/>
  <c r="AA46" i="2" s="1"/>
  <c r="AB46" i="2" a="1"/>
  <c r="AB46" i="2" s="1"/>
  <c r="AC46" i="2" a="1"/>
  <c r="AC46" i="2" s="1"/>
  <c r="AD46" i="2" a="1"/>
  <c r="AD46" i="2" s="1"/>
  <c r="F46" i="2" a="1"/>
  <c r="F46" i="2" s="1"/>
  <c r="G46" i="2" a="1"/>
  <c r="G46" i="2" s="1"/>
  <c r="H46" i="2" a="1"/>
  <c r="H46" i="2" s="1"/>
  <c r="I46" i="2" a="1"/>
  <c r="I46" i="2" s="1"/>
  <c r="J46" i="2" a="1"/>
  <c r="J46" i="2" s="1"/>
  <c r="K46" i="2" a="1"/>
  <c r="K46" i="2" s="1"/>
  <c r="L46" i="2" a="1"/>
  <c r="L46" i="2" s="1"/>
  <c r="M46" i="2" a="1"/>
  <c r="M46" i="2" s="1"/>
  <c r="N46" i="2" a="1"/>
  <c r="N46" i="2" s="1"/>
  <c r="O46" i="2" a="1"/>
  <c r="O46" i="2" s="1"/>
  <c r="K96" i="4" s="1" a="1"/>
  <c r="K96" i="4" s="1"/>
  <c r="P46" i="2" a="1"/>
  <c r="P46" i="2" s="1"/>
  <c r="E46" i="2" a="1"/>
  <c r="E46" i="2" s="1"/>
  <c r="K56" i="4" s="1" a="1"/>
  <c r="K56" i="4" s="1"/>
  <c r="BW46" i="2" a="1"/>
  <c r="BW46" i="2" s="1"/>
  <c r="BX46" i="2" a="1"/>
  <c r="BX46" i="2" s="1"/>
  <c r="BY46" i="2" a="1"/>
  <c r="BY46" i="2" s="1"/>
  <c r="BZ46" i="2" a="1"/>
  <c r="BZ46" i="2" s="1"/>
  <c r="CA46" i="2" a="1"/>
  <c r="CA46" i="2" s="1"/>
  <c r="K60" i="4" l="1" a="1"/>
  <c r="K60" i="4" s="1"/>
  <c r="K88" i="4" a="1"/>
  <c r="K88" i="4" s="1"/>
  <c r="K100" i="4" a="1"/>
  <c r="K100" i="4" s="1"/>
  <c r="K64" i="4" a="1"/>
  <c r="K64" i="4" s="1"/>
  <c r="K84" i="4" a="1"/>
  <c r="K84" i="4" s="1"/>
  <c r="K68" i="4" a="1"/>
  <c r="K68" i="4" s="1"/>
  <c r="K80" i="4" a="1"/>
  <c r="K80" i="4" s="1"/>
  <c r="K72" i="4" a="1"/>
  <c r="K72" i="4" s="1"/>
  <c r="K76" i="4" a="1"/>
  <c r="K76" i="4" s="1"/>
  <c r="K92" i="4" a="1"/>
  <c r="K92" i="4" s="1"/>
  <c r="G100" i="4"/>
  <c r="J100" i="4" a="1"/>
  <c r="J100" i="4" s="1"/>
  <c r="G99" i="4"/>
  <c r="J99" i="4" a="1"/>
  <c r="J99" i="4" s="1"/>
  <c r="G98" i="4"/>
  <c r="K98" i="4" a="1"/>
  <c r="K98" i="4" s="1"/>
  <c r="J98" i="4" a="1"/>
  <c r="J98" i="4" s="1"/>
  <c r="G96" i="4"/>
  <c r="J96" i="4" a="1"/>
  <c r="J96" i="4" s="1"/>
  <c r="G95" i="4"/>
  <c r="J95" i="4" a="1"/>
  <c r="J95" i="4" s="1"/>
  <c r="G94" i="4"/>
  <c r="K94" i="4" a="1"/>
  <c r="K94" i="4" s="1"/>
  <c r="J94" i="4" a="1"/>
  <c r="J94" i="4" s="1"/>
  <c r="G92" i="4"/>
  <c r="J92" i="4" a="1"/>
  <c r="J92" i="4" s="1"/>
  <c r="G91" i="4"/>
  <c r="J91" i="4" a="1"/>
  <c r="J91" i="4" s="1"/>
  <c r="G90" i="4"/>
  <c r="K90" i="4" a="1"/>
  <c r="K90" i="4" s="1"/>
  <c r="J90" i="4" a="1"/>
  <c r="J90" i="4" s="1"/>
  <c r="G88" i="4"/>
  <c r="J88" i="4" a="1"/>
  <c r="J88" i="4" s="1"/>
  <c r="G87" i="4"/>
  <c r="J87" i="4" a="1"/>
  <c r="J87" i="4" s="1"/>
  <c r="G86" i="4"/>
  <c r="K86" i="4" a="1"/>
  <c r="K86" i="4" s="1"/>
  <c r="J86" i="4" a="1"/>
  <c r="J86" i="4" s="1"/>
  <c r="G84" i="4"/>
  <c r="J84" i="4" a="1"/>
  <c r="J84" i="4" s="1"/>
  <c r="G83" i="4"/>
  <c r="J83" i="4" a="1"/>
  <c r="J83" i="4" s="1"/>
  <c r="G82" i="4"/>
  <c r="K82" i="4" a="1"/>
  <c r="K82" i="4" s="1"/>
  <c r="J82" i="4" a="1"/>
  <c r="J82" i="4" s="1"/>
  <c r="G80" i="4"/>
  <c r="J80" i="4" a="1"/>
  <c r="J80" i="4" s="1"/>
  <c r="G79" i="4"/>
  <c r="J79" i="4" a="1"/>
  <c r="J79" i="4" s="1"/>
  <c r="G78" i="4"/>
  <c r="K78" i="4" a="1"/>
  <c r="K78" i="4" s="1"/>
  <c r="J78" i="4" a="1"/>
  <c r="J78" i="4" s="1"/>
  <c r="G76" i="4"/>
  <c r="J76" i="4" a="1"/>
  <c r="J76" i="4" s="1"/>
  <c r="G75" i="4"/>
  <c r="J75" i="4" a="1"/>
  <c r="J75" i="4" s="1"/>
  <c r="G74" i="4"/>
  <c r="K74" i="4" a="1"/>
  <c r="K74" i="4" s="1"/>
  <c r="J74" i="4" a="1"/>
  <c r="J74" i="4" s="1"/>
  <c r="G72" i="4"/>
  <c r="J72" i="4" a="1"/>
  <c r="J72" i="4" s="1"/>
  <c r="G71" i="4"/>
  <c r="J71" i="4" a="1"/>
  <c r="J71" i="4" s="1"/>
  <c r="G70" i="4"/>
  <c r="K70" i="4" a="1"/>
  <c r="K70" i="4" s="1"/>
  <c r="J70" i="4" a="1"/>
  <c r="J70" i="4" s="1"/>
  <c r="G68" i="4"/>
  <c r="J68" i="4" a="1"/>
  <c r="J68" i="4" s="1"/>
  <c r="G67" i="4"/>
  <c r="J67" i="4" a="1"/>
  <c r="J67" i="4" s="1"/>
  <c r="G66" i="4"/>
  <c r="K66" i="4" a="1"/>
  <c r="K66" i="4" s="1"/>
  <c r="J66" i="4" a="1"/>
  <c r="J66" i="4" s="1"/>
  <c r="G64" i="4"/>
  <c r="J64" i="4" a="1"/>
  <c r="J64" i="4" s="1"/>
  <c r="G63" i="4"/>
  <c r="J63" i="4" a="1"/>
  <c r="J63" i="4" s="1"/>
  <c r="G62" i="4"/>
  <c r="K62" i="4" a="1"/>
  <c r="K62" i="4" s="1"/>
  <c r="J62" i="4" a="1"/>
  <c r="J62" i="4" s="1"/>
  <c r="G60" i="4"/>
  <c r="J60" i="4" a="1"/>
  <c r="J60" i="4" s="1"/>
  <c r="G59" i="4"/>
  <c r="J59" i="4" a="1"/>
  <c r="J59" i="4" s="1"/>
  <c r="G58" i="4"/>
  <c r="K58" i="4" a="1"/>
  <c r="K58" i="4" s="1"/>
  <c r="J58" i="4" a="1"/>
  <c r="J58" i="4" s="1"/>
  <c r="G54" i="4"/>
  <c r="K54" i="4" a="1"/>
  <c r="K54" i="4" s="1"/>
  <c r="J54" i="4" a="1"/>
  <c r="J54" i="4" s="1"/>
  <c r="G55" i="4"/>
  <c r="J55" i="4" a="1"/>
  <c r="J55" i="4" s="1"/>
  <c r="G56" i="4"/>
  <c r="J56" i="4" a="1"/>
  <c r="J56" i="4" s="1"/>
  <c r="M11" i="5" a="1"/>
  <c r="M11" i="5" s="1"/>
  <c r="N11" i="5" a="1"/>
  <c r="N11" i="5" s="1"/>
  <c r="I11" i="5" a="1"/>
  <c r="I11" i="5" s="1"/>
  <c r="K11" i="5" s="1" a="1"/>
  <c r="K11" i="5" s="1"/>
  <c r="D12" i="5"/>
  <c r="L12" i="5" a="1"/>
  <c r="L12" i="5" s="1"/>
  <c r="F12" i="5"/>
  <c r="E13" i="5" a="1"/>
  <c r="E13" i="5" s="1"/>
  <c r="G13" i="5" a="1"/>
  <c r="G13" i="5" s="1"/>
  <c r="H13" i="5"/>
  <c r="C14" i="5" a="1"/>
  <c r="C14" i="5" s="1"/>
  <c r="Q46" i="2"/>
  <c r="AE46" i="2"/>
  <c r="CI46" i="2"/>
  <c r="CW46" i="2"/>
  <c r="DK46" i="2"/>
  <c r="DY46" i="2"/>
  <c r="BG46" i="2"/>
  <c r="BU46" i="2"/>
  <c r="AS46" i="2"/>
  <c r="P100" i="4" l="1"/>
  <c r="M100" i="4"/>
  <c r="M99" i="4"/>
  <c r="P99" i="4"/>
  <c r="M98" i="4"/>
  <c r="P98" i="4"/>
  <c r="P96" i="4"/>
  <c r="M96" i="4"/>
  <c r="P95" i="4"/>
  <c r="M95" i="4"/>
  <c r="M94" i="4"/>
  <c r="P94" i="4"/>
  <c r="P92" i="4"/>
  <c r="M92" i="4"/>
  <c r="M91" i="4"/>
  <c r="P91" i="4"/>
  <c r="M90" i="4"/>
  <c r="P90" i="4"/>
  <c r="P88" i="4"/>
  <c r="M88" i="4"/>
  <c r="M87" i="4"/>
  <c r="P87" i="4"/>
  <c r="M86" i="4"/>
  <c r="P86" i="4"/>
  <c r="M84" i="4"/>
  <c r="P84" i="4"/>
  <c r="P83" i="4"/>
  <c r="M83" i="4"/>
  <c r="M82" i="4"/>
  <c r="P82" i="4"/>
  <c r="M80" i="4"/>
  <c r="P80" i="4"/>
  <c r="M79" i="4"/>
  <c r="P79" i="4"/>
  <c r="M78" i="4"/>
  <c r="P78" i="4"/>
  <c r="P76" i="4"/>
  <c r="M76" i="4"/>
  <c r="M75" i="4"/>
  <c r="P75" i="4"/>
  <c r="M74" i="4"/>
  <c r="P74" i="4"/>
  <c r="M72" i="4"/>
  <c r="P72" i="4"/>
  <c r="M71" i="4"/>
  <c r="P71" i="4"/>
  <c r="M70" i="4"/>
  <c r="P70" i="4"/>
  <c r="P68" i="4"/>
  <c r="M68" i="4"/>
  <c r="M67" i="4"/>
  <c r="P67" i="4"/>
  <c r="M66" i="4"/>
  <c r="P66" i="4"/>
  <c r="M64" i="4"/>
  <c r="P64" i="4"/>
  <c r="P63" i="4"/>
  <c r="M63" i="4"/>
  <c r="M62" i="4"/>
  <c r="P62" i="4"/>
  <c r="M60" i="4"/>
  <c r="P60" i="4"/>
  <c r="M59" i="4"/>
  <c r="P59" i="4"/>
  <c r="M58" i="4"/>
  <c r="P58" i="4"/>
  <c r="P54" i="4"/>
  <c r="M54" i="4"/>
  <c r="L55" i="4"/>
  <c r="L56" i="4"/>
  <c r="L54" i="4"/>
  <c r="L100" i="4"/>
  <c r="L94" i="4"/>
  <c r="L88" i="4"/>
  <c r="L83" i="4"/>
  <c r="L76" i="4"/>
  <c r="L68" i="4"/>
  <c r="L58" i="4"/>
  <c r="L98" i="4"/>
  <c r="L92" i="4"/>
  <c r="L86" i="4"/>
  <c r="L78" i="4"/>
  <c r="L72" i="4"/>
  <c r="L67" i="4"/>
  <c r="L62" i="4"/>
  <c r="L99" i="4"/>
  <c r="L90" i="4"/>
  <c r="L80" i="4"/>
  <c r="L74" i="4"/>
  <c r="L66" i="4"/>
  <c r="L63" i="4"/>
  <c r="L96" i="4"/>
  <c r="L91" i="4"/>
  <c r="L84" i="4"/>
  <c r="L79" i="4"/>
  <c r="L71" i="4"/>
  <c r="L64" i="4"/>
  <c r="L60" i="4"/>
  <c r="L95" i="4"/>
  <c r="L87" i="4"/>
  <c r="L82" i="4"/>
  <c r="L75" i="4"/>
  <c r="L70" i="4"/>
  <c r="L59" i="4"/>
  <c r="P55" i="4"/>
  <c r="M55" i="4"/>
  <c r="P56" i="4"/>
  <c r="M56" i="4"/>
  <c r="N98" i="4"/>
  <c r="O98" i="4"/>
  <c r="N96" i="4"/>
  <c r="O96" i="4"/>
  <c r="O91" i="4"/>
  <c r="N91" i="4"/>
  <c r="N83" i="4"/>
  <c r="O83" i="4"/>
  <c r="O80" i="4"/>
  <c r="N80" i="4"/>
  <c r="O78" i="4"/>
  <c r="N78" i="4"/>
  <c r="O74" i="4"/>
  <c r="N74" i="4"/>
  <c r="I12" i="5" a="1"/>
  <c r="I12" i="5" s="1"/>
  <c r="K12" i="5" s="1" a="1"/>
  <c r="K12" i="5" s="1"/>
  <c r="D13" i="5"/>
  <c r="M12" i="5" a="1"/>
  <c r="M12" i="5" s="1"/>
  <c r="N12" i="5" a="1"/>
  <c r="N12" i="5" s="1"/>
  <c r="L13" i="5" a="1"/>
  <c r="L13" i="5" s="1"/>
  <c r="F13" i="5"/>
  <c r="J14" i="5" a="1"/>
  <c r="J14" i="5" s="1"/>
  <c r="E14" i="5" a="1"/>
  <c r="E14" i="5" s="1"/>
  <c r="G14" i="5" a="1"/>
  <c r="G14" i="5" s="1"/>
  <c r="H14" i="5"/>
  <c r="C15" i="5" a="1"/>
  <c r="C15" i="5" s="1"/>
  <c r="V11" i="5"/>
  <c r="Q11" i="5"/>
  <c r="R11" i="5" s="1"/>
  <c r="O11" i="5"/>
  <c r="T11" i="5"/>
  <c r="X33" i="2" a="1"/>
  <c r="X33" i="2" s="1"/>
  <c r="X7" i="2" s="1"/>
  <c r="X6" i="2" s="1"/>
  <c r="G33" i="2" a="1"/>
  <c r="G33" i="2" s="1"/>
  <c r="G7" i="2" s="1"/>
  <c r="CM33" i="2" a="1"/>
  <c r="CM33" i="2" s="1"/>
  <c r="CM7" i="2" s="1"/>
  <c r="CM6" i="2" s="1"/>
  <c r="BF33" i="2" a="1"/>
  <c r="BF33" i="2" s="1"/>
  <c r="BF7" i="2" s="1"/>
  <c r="BF6" i="2" s="1"/>
  <c r="CF33" i="2" a="1"/>
  <c r="CF33" i="2" s="1"/>
  <c r="CF7" i="2" s="1"/>
  <c r="CF6" i="2" s="1"/>
  <c r="BB33" i="2" a="1"/>
  <c r="BB33" i="2" s="1"/>
  <c r="BB7" i="2" s="1"/>
  <c r="BB6" i="2" s="1"/>
  <c r="BJ33" i="2" a="1"/>
  <c r="BJ33" i="2" s="1"/>
  <c r="BJ7" i="2" s="1"/>
  <c r="CB33" i="2" a="1"/>
  <c r="CB33" i="2" s="1"/>
  <c r="CB7" i="2" s="1"/>
  <c r="CB6" i="2" s="1"/>
  <c r="CK33" i="2" a="1"/>
  <c r="CK33" i="2" s="1"/>
  <c r="AA33" i="2" a="1"/>
  <c r="AA33" i="2" s="1"/>
  <c r="AA7" i="2" s="1"/>
  <c r="AA6" i="2" s="1"/>
  <c r="DB33" i="2" a="1"/>
  <c r="DB33" i="2" s="1"/>
  <c r="DB7" i="2" s="1"/>
  <c r="DB6" i="2" s="1"/>
  <c r="AJ33" i="2" a="1"/>
  <c r="AJ33" i="2" s="1"/>
  <c r="AJ7" i="2" s="1"/>
  <c r="AJ6" i="2" s="1"/>
  <c r="BR33" i="2" a="1"/>
  <c r="BR33" i="2" s="1"/>
  <c r="BR7" i="2" s="1"/>
  <c r="BR6" i="2" s="1"/>
  <c r="CZ33" i="2" a="1"/>
  <c r="CZ33" i="2" s="1"/>
  <c r="CZ7" i="2" s="1"/>
  <c r="P33" i="2" a="1"/>
  <c r="P33" i="2" s="1"/>
  <c r="P7" i="2" s="1"/>
  <c r="CD33" i="2" a="1"/>
  <c r="CD33" i="2" s="1"/>
  <c r="CD7" i="2" s="1"/>
  <c r="CD6" i="2" s="1"/>
  <c r="CV33" i="2" a="1"/>
  <c r="CV33" i="2" s="1"/>
  <c r="CV7" i="2" s="1"/>
  <c r="CV6" i="2" s="1"/>
  <c r="DR33" i="2" a="1"/>
  <c r="DR33" i="2" s="1"/>
  <c r="DR7" i="2" s="1"/>
  <c r="DR6" i="2" s="1"/>
  <c r="CO33" i="2" a="1"/>
  <c r="CO33" i="2" s="1"/>
  <c r="CO7" i="2" s="1"/>
  <c r="CO6" i="2" s="1"/>
  <c r="BI33" i="2" a="1"/>
  <c r="BI33" i="2" s="1"/>
  <c r="DG33" i="2" a="1"/>
  <c r="DG33" i="2" s="1"/>
  <c r="DG7" i="2" s="1"/>
  <c r="DG6" i="2" s="1"/>
  <c r="S33" i="2" a="1"/>
  <c r="S33" i="2" s="1"/>
  <c r="AG33" i="2" a="1"/>
  <c r="AG33" i="2" s="1"/>
  <c r="DX33" i="2" a="1"/>
  <c r="DX33" i="2" s="1"/>
  <c r="DX7" i="2" s="1"/>
  <c r="DX6" i="2" s="1"/>
  <c r="AO33" i="2" a="1"/>
  <c r="AO33" i="2" s="1"/>
  <c r="AO7" i="2" s="1"/>
  <c r="AO6" i="2" s="1"/>
  <c r="DA33" i="2" a="1"/>
  <c r="DA33" i="2" s="1"/>
  <c r="DA7" i="2" s="1"/>
  <c r="DA6" i="2" s="1"/>
  <c r="DS33" i="2" a="1"/>
  <c r="DS33" i="2" s="1"/>
  <c r="DS7" i="2" s="1"/>
  <c r="DS6" i="2" s="1"/>
  <c r="CP33" i="2" a="1"/>
  <c r="CP33" i="2" s="1"/>
  <c r="CP7" i="2" s="1"/>
  <c r="CP6" i="2" s="1"/>
  <c r="CL33" i="2" a="1"/>
  <c r="CL33" i="2" s="1"/>
  <c r="CL7" i="2" s="1"/>
  <c r="AK33" i="2" a="1"/>
  <c r="AK33" i="2" s="1"/>
  <c r="AK7" i="2" s="1"/>
  <c r="AK6" i="2" s="1"/>
  <c r="W33" i="2" a="1"/>
  <c r="W33" i="2" s="1"/>
  <c r="W7" i="2" s="1"/>
  <c r="W6" i="2" s="1"/>
  <c r="DI33" i="2" a="1"/>
  <c r="DI33" i="2" s="1"/>
  <c r="DI7" i="2" s="1"/>
  <c r="DI6" i="2" s="1"/>
  <c r="AL33" i="2" a="1"/>
  <c r="AL33" i="2" s="1"/>
  <c r="AL7" i="2" s="1"/>
  <c r="AL6" i="2" s="1"/>
  <c r="F33" i="2" a="1"/>
  <c r="F33" i="2" s="1"/>
  <c r="F7" i="2" s="1"/>
  <c r="Y33" i="2" a="1"/>
  <c r="Y33" i="2" s="1"/>
  <c r="Y7" i="2" s="1"/>
  <c r="Y6" i="2" s="1"/>
  <c r="CN33" i="2" a="1"/>
  <c r="CN33" i="2" s="1"/>
  <c r="CN7" i="2" s="1"/>
  <c r="CN6" i="2" s="1"/>
  <c r="AN33" i="2" a="1"/>
  <c r="AN33" i="2" s="1"/>
  <c r="AN7" i="2" s="1"/>
  <c r="AN6" i="2" s="1"/>
  <c r="DP33" i="2" a="1"/>
  <c r="DP33" i="2" s="1"/>
  <c r="DP7" i="2" s="1"/>
  <c r="DP6" i="2" s="1"/>
  <c r="BZ33" i="2" a="1"/>
  <c r="BZ33" i="2" s="1"/>
  <c r="BZ7" i="2" s="1"/>
  <c r="BZ6" i="2" s="1"/>
  <c r="BM33" i="2" a="1"/>
  <c r="BM33" i="2" s="1"/>
  <c r="BM7" i="2" s="1"/>
  <c r="BM6" i="2" s="1"/>
  <c r="CS33" i="2" a="1"/>
  <c r="CS33" i="2" s="1"/>
  <c r="CS7" i="2" s="1"/>
  <c r="CS6" i="2" s="1"/>
  <c r="AY33" i="2" a="1"/>
  <c r="AY33" i="2" s="1"/>
  <c r="AY7" i="2" s="1"/>
  <c r="AY6" i="2" s="1"/>
  <c r="BX33" i="2" a="1"/>
  <c r="BX33" i="2" s="1"/>
  <c r="BX7" i="2" s="1"/>
  <c r="AU33" i="2" a="1"/>
  <c r="AU33" i="2" s="1"/>
  <c r="CG33" i="2" a="1"/>
  <c r="CG33" i="2" s="1"/>
  <c r="CG7" i="2" s="1"/>
  <c r="CG6" i="2" s="1"/>
  <c r="AC33" i="2" a="1"/>
  <c r="AC33" i="2" s="1"/>
  <c r="AC7" i="2" s="1"/>
  <c r="AC6" i="2" s="1"/>
  <c r="L33" i="2" a="1"/>
  <c r="L33" i="2" s="1"/>
  <c r="L7" i="2" s="1"/>
  <c r="AM33" i="2" a="1"/>
  <c r="AM33" i="2" s="1"/>
  <c r="AM7" i="2" s="1"/>
  <c r="AM6" i="2" s="1"/>
  <c r="CC33" i="2" a="1"/>
  <c r="CC33" i="2" s="1"/>
  <c r="CC7" i="2" s="1"/>
  <c r="CC6" i="2" s="1"/>
  <c r="AB33" i="2" a="1"/>
  <c r="AB33" i="2" s="1"/>
  <c r="AB7" i="2" s="1"/>
  <c r="AB6" i="2" s="1"/>
  <c r="AD33" i="2" a="1"/>
  <c r="AD33" i="2" s="1"/>
  <c r="AD7" i="2" s="1"/>
  <c r="AD6" i="2" s="1"/>
  <c r="DC33" i="2" a="1"/>
  <c r="DC33" i="2" s="1"/>
  <c r="DC7" i="2" s="1"/>
  <c r="DC6" i="2" s="1"/>
  <c r="DT33" i="2" a="1"/>
  <c r="DT33" i="2" s="1"/>
  <c r="DT7" i="2" s="1"/>
  <c r="DT6" i="2" s="1"/>
  <c r="DH33" i="2" a="1"/>
  <c r="DH33" i="2" s="1"/>
  <c r="DH7" i="2" s="1"/>
  <c r="DH6" i="2" s="1"/>
  <c r="BS33" i="2" a="1"/>
  <c r="BS33" i="2" s="1"/>
  <c r="BS7" i="2" s="1"/>
  <c r="BS6" i="2" s="1"/>
  <c r="CY33" i="2" a="1"/>
  <c r="CY33" i="2" s="1"/>
  <c r="BL33" i="2" a="1"/>
  <c r="BL33" i="2" s="1"/>
  <c r="BL7" i="2" s="1"/>
  <c r="BL6" i="2" s="1"/>
  <c r="V33" i="2" a="1"/>
  <c r="V33" i="2" s="1"/>
  <c r="V7" i="2" s="1"/>
  <c r="V6" i="2" s="1"/>
  <c r="M33" i="2" a="1"/>
  <c r="M33" i="2" s="1"/>
  <c r="M7" i="2" s="1"/>
  <c r="BW33" i="2" a="1"/>
  <c r="BW33" i="2" s="1"/>
  <c r="H33" i="2" a="1"/>
  <c r="H33" i="2" s="1"/>
  <c r="H7" i="2" s="1"/>
  <c r="AI33" i="2" a="1"/>
  <c r="AI33" i="2" s="1"/>
  <c r="AI7" i="2" s="1"/>
  <c r="AI6" i="2" s="1"/>
  <c r="BY33" i="2" a="1"/>
  <c r="BY33" i="2" s="1"/>
  <c r="BY7" i="2" s="1"/>
  <c r="BY6" i="2" s="1"/>
  <c r="N33" i="2" a="1"/>
  <c r="N33" i="2" s="1"/>
  <c r="N7" i="2" s="1"/>
  <c r="DJ33" i="2" a="1"/>
  <c r="DJ33" i="2" s="1"/>
  <c r="DJ7" i="2" s="1"/>
  <c r="DJ6" i="2" s="1"/>
  <c r="CE33" i="2" a="1"/>
  <c r="CE33" i="2" s="1"/>
  <c r="CE7" i="2" s="1"/>
  <c r="CE6" i="2" s="1"/>
  <c r="DN33" i="2" a="1"/>
  <c r="DN33" i="2" s="1"/>
  <c r="DN7" i="2" s="1"/>
  <c r="DM33" i="2" a="1"/>
  <c r="DM33" i="2" s="1"/>
  <c r="DE33" i="2" a="1"/>
  <c r="DE33" i="2" s="1"/>
  <c r="DE7" i="2" s="1"/>
  <c r="DE6" i="2" s="1"/>
  <c r="BT33" i="2" a="1"/>
  <c r="BT33" i="2" s="1"/>
  <c r="BT7" i="2" s="1"/>
  <c r="BT6" i="2" s="1"/>
  <c r="CH33" i="2" a="1"/>
  <c r="CH33" i="2" s="1"/>
  <c r="CH7" i="2" s="1"/>
  <c r="CH6" i="2" s="1"/>
  <c r="I33" i="2" a="1"/>
  <c r="I33" i="2" s="1"/>
  <c r="I7" i="2" s="1"/>
  <c r="CT33" i="2" a="1"/>
  <c r="CT33" i="2" s="1"/>
  <c r="CT7" i="2" s="1"/>
  <c r="CT6" i="2" s="1"/>
  <c r="CA33" i="2" a="1"/>
  <c r="CA33" i="2" s="1"/>
  <c r="CA7" i="2" s="1"/>
  <c r="CA6" i="2" s="1"/>
  <c r="BP33" i="2" a="1"/>
  <c r="BP33" i="2" s="1"/>
  <c r="BP7" i="2" s="1"/>
  <c r="BP6" i="2" s="1"/>
  <c r="O33" i="2" a="1"/>
  <c r="O33" i="2" s="1"/>
  <c r="O7" i="2" s="1"/>
  <c r="AQ33" i="2" a="1"/>
  <c r="AQ33" i="2" s="1"/>
  <c r="AQ7" i="2" s="1"/>
  <c r="AQ6" i="2" s="1"/>
  <c r="BA33" i="2" a="1"/>
  <c r="BA33" i="2" s="1"/>
  <c r="BA7" i="2" s="1"/>
  <c r="BA6" i="2" s="1"/>
  <c r="CU33" i="2" a="1"/>
  <c r="CU33" i="2" s="1"/>
  <c r="CU7" i="2" s="1"/>
  <c r="CU6" i="2" s="1"/>
  <c r="AX33" i="2" a="1"/>
  <c r="AX33" i="2" s="1"/>
  <c r="AX7" i="2" s="1"/>
  <c r="AX6" i="2" s="1"/>
  <c r="DO33" i="2" a="1"/>
  <c r="DO33" i="2" s="1"/>
  <c r="DO7" i="2" s="1"/>
  <c r="DO6" i="2" s="1"/>
  <c r="AP33" i="2" a="1"/>
  <c r="AP33" i="2" s="1"/>
  <c r="AP7" i="2" s="1"/>
  <c r="AP6" i="2" s="1"/>
  <c r="BC33" i="2" a="1"/>
  <c r="BC33" i="2" s="1"/>
  <c r="BC7" i="2" s="1"/>
  <c r="BC6" i="2" s="1"/>
  <c r="DF33" i="2" a="1"/>
  <c r="DF33" i="2" s="1"/>
  <c r="DF7" i="2" s="1"/>
  <c r="DF6" i="2" s="1"/>
  <c r="AW33" i="2" a="1"/>
  <c r="AW33" i="2" s="1"/>
  <c r="AW7" i="2" s="1"/>
  <c r="AW6" i="2" s="1"/>
  <c r="DD33" i="2" a="1"/>
  <c r="DD33" i="2" s="1"/>
  <c r="DD7" i="2" s="1"/>
  <c r="DD6" i="2" s="1"/>
  <c r="Z33" i="2" a="1"/>
  <c r="Z33" i="2" s="1"/>
  <c r="Z7" i="2" s="1"/>
  <c r="Z6" i="2" s="1"/>
  <c r="BQ33" i="2" a="1"/>
  <c r="BQ33" i="2" s="1"/>
  <c r="BQ7" i="2" s="1"/>
  <c r="BQ6" i="2" s="1"/>
  <c r="T33" i="2" a="1"/>
  <c r="T33" i="2" s="1"/>
  <c r="T7" i="2" s="1"/>
  <c r="DQ33" i="2" a="1"/>
  <c r="DQ33" i="2" s="1"/>
  <c r="DQ7" i="2" s="1"/>
  <c r="DQ6" i="2" s="1"/>
  <c r="DW33" i="2" a="1"/>
  <c r="DW33" i="2" s="1"/>
  <c r="DW7" i="2" s="1"/>
  <c r="DW6" i="2" s="1"/>
  <c r="AH33" i="2" a="1"/>
  <c r="AH33" i="2" s="1"/>
  <c r="AH7" i="2" s="1"/>
  <c r="AZ33" i="2" a="1"/>
  <c r="AZ33" i="2" s="1"/>
  <c r="AZ7" i="2" s="1"/>
  <c r="AZ6" i="2" s="1"/>
  <c r="AV33" i="2" a="1"/>
  <c r="AV33" i="2" s="1"/>
  <c r="AV7" i="2" s="1"/>
  <c r="E33" i="2" a="1"/>
  <c r="E33" i="2" s="1"/>
  <c r="BO33" i="2" a="1"/>
  <c r="BO33" i="2" s="1"/>
  <c r="BO7" i="2" s="1"/>
  <c r="BO6" i="2" s="1"/>
  <c r="DV33" i="2" a="1"/>
  <c r="DV33" i="2" s="1"/>
  <c r="DV7" i="2" s="1"/>
  <c r="DV6" i="2" s="1"/>
  <c r="U33" i="2" a="1"/>
  <c r="U33" i="2" s="1"/>
  <c r="U7" i="2" s="1"/>
  <c r="U6" i="2" s="1"/>
  <c r="BK33" i="2" a="1"/>
  <c r="BK33" i="2" s="1"/>
  <c r="BK7" i="2" s="1"/>
  <c r="BK6" i="2" s="1"/>
  <c r="BN33" i="2" a="1"/>
  <c r="BN33" i="2" s="1"/>
  <c r="BN7" i="2" s="1"/>
  <c r="BN6" i="2" s="1"/>
  <c r="J33" i="2" a="1"/>
  <c r="J33" i="2" s="1"/>
  <c r="J7" i="2" s="1"/>
  <c r="BE33" i="2" a="1"/>
  <c r="BE33" i="2" s="1"/>
  <c r="BE7" i="2" s="1"/>
  <c r="BE6" i="2" s="1"/>
  <c r="BD33" i="2" a="1"/>
  <c r="BD33" i="2" s="1"/>
  <c r="BD7" i="2" s="1"/>
  <c r="BD6" i="2" s="1"/>
  <c r="DU33" i="2" a="1"/>
  <c r="DU33" i="2" s="1"/>
  <c r="DU7" i="2" s="1"/>
  <c r="DU6" i="2" s="1"/>
  <c r="CQ33" i="2" a="1"/>
  <c r="CQ33" i="2" s="1"/>
  <c r="CQ7" i="2" s="1"/>
  <c r="CQ6" i="2" s="1"/>
  <c r="K33" i="2" a="1"/>
  <c r="K33" i="2" s="1"/>
  <c r="K7" i="2" s="1"/>
  <c r="AR33" i="2" a="1"/>
  <c r="AR33" i="2" s="1"/>
  <c r="AR7" i="2" s="1"/>
  <c r="AR6" i="2" s="1"/>
  <c r="CR33" i="2" a="1"/>
  <c r="CR33" i="2" s="1"/>
  <c r="CR7" i="2" s="1"/>
  <c r="CR6" i="2" s="1"/>
  <c r="O99" i="4" l="1"/>
  <c r="N99" i="4"/>
  <c r="N94" i="4"/>
  <c r="O94" i="4"/>
  <c r="N90" i="4"/>
  <c r="O90" i="4"/>
  <c r="N92" i="4"/>
  <c r="O92" i="4"/>
  <c r="N88" i="4"/>
  <c r="O88" i="4"/>
  <c r="N86" i="4"/>
  <c r="O86" i="4"/>
  <c r="N76" i="4"/>
  <c r="O76" i="4"/>
  <c r="K55" i="4" a="1"/>
  <c r="K55" i="4" s="1"/>
  <c r="N72" i="4"/>
  <c r="O72" i="4"/>
  <c r="O68" i="4"/>
  <c r="N68" i="4"/>
  <c r="O67" i="4"/>
  <c r="N67" i="4"/>
  <c r="N55" i="4"/>
  <c r="O55" i="4"/>
  <c r="N56" i="4"/>
  <c r="O56" i="4"/>
  <c r="O58" i="4"/>
  <c r="N58" i="4"/>
  <c r="O62" i="4"/>
  <c r="N62" i="4"/>
  <c r="O66" i="4"/>
  <c r="N66" i="4"/>
  <c r="N63" i="4"/>
  <c r="O63" i="4"/>
  <c r="R55" i="4"/>
  <c r="Q55" i="4"/>
  <c r="R56" i="4"/>
  <c r="Q56" i="4"/>
  <c r="N54" i="4"/>
  <c r="R54" i="4"/>
  <c r="O54" i="4"/>
  <c r="Q54" i="4"/>
  <c r="N100" i="4"/>
  <c r="O100" i="4"/>
  <c r="Q100" i="4"/>
  <c r="R100" i="4"/>
  <c r="R94" i="4"/>
  <c r="Q94" i="4"/>
  <c r="Q88" i="4"/>
  <c r="R88" i="4"/>
  <c r="R83" i="4"/>
  <c r="Q83" i="4"/>
  <c r="Q76" i="4"/>
  <c r="R76" i="4"/>
  <c r="Q68" i="4"/>
  <c r="R68" i="4"/>
  <c r="R58" i="4"/>
  <c r="Q58" i="4"/>
  <c r="R98" i="4"/>
  <c r="Q98" i="4"/>
  <c r="R92" i="4"/>
  <c r="Q92" i="4"/>
  <c r="Q86" i="4"/>
  <c r="R86" i="4"/>
  <c r="R78" i="4"/>
  <c r="Q78" i="4"/>
  <c r="R72" i="4"/>
  <c r="Q72" i="4"/>
  <c r="R67" i="4"/>
  <c r="Q67" i="4"/>
  <c r="Q62" i="4"/>
  <c r="R62" i="4"/>
  <c r="Q99" i="4"/>
  <c r="R99" i="4"/>
  <c r="R90" i="4"/>
  <c r="Q90" i="4"/>
  <c r="Q80" i="4"/>
  <c r="R80" i="4"/>
  <c r="Q74" i="4"/>
  <c r="R74" i="4"/>
  <c r="Q66" i="4"/>
  <c r="R66" i="4"/>
  <c r="Q63" i="4"/>
  <c r="R63" i="4"/>
  <c r="Q96" i="4"/>
  <c r="R96" i="4"/>
  <c r="R91" i="4"/>
  <c r="Q91" i="4"/>
  <c r="O84" i="4"/>
  <c r="Q84" i="4"/>
  <c r="N84" i="4"/>
  <c r="R84" i="4"/>
  <c r="N79" i="4"/>
  <c r="Q79" i="4"/>
  <c r="O79" i="4"/>
  <c r="R79" i="4"/>
  <c r="N71" i="4"/>
  <c r="R71" i="4"/>
  <c r="O71" i="4"/>
  <c r="Q71" i="4"/>
  <c r="Q64" i="4"/>
  <c r="R64" i="4"/>
  <c r="O64" i="4"/>
  <c r="N64" i="4"/>
  <c r="N60" i="4"/>
  <c r="Q60" i="4"/>
  <c r="O60" i="4"/>
  <c r="R60" i="4"/>
  <c r="N95" i="4"/>
  <c r="Q95" i="4"/>
  <c r="R95" i="4"/>
  <c r="O95" i="4"/>
  <c r="O87" i="4"/>
  <c r="Q87" i="4"/>
  <c r="R87" i="4"/>
  <c r="N87" i="4"/>
  <c r="N82" i="4"/>
  <c r="R82" i="4"/>
  <c r="Q82" i="4"/>
  <c r="O82" i="4"/>
  <c r="N75" i="4"/>
  <c r="Q75" i="4"/>
  <c r="R75" i="4"/>
  <c r="O75" i="4"/>
  <c r="O70" i="4"/>
  <c r="Q70" i="4"/>
  <c r="R70" i="4"/>
  <c r="N70" i="4"/>
  <c r="O59" i="4"/>
  <c r="Q59" i="4"/>
  <c r="R59" i="4"/>
  <c r="N59" i="4"/>
  <c r="G6" i="2"/>
  <c r="K63" i="4" a="1"/>
  <c r="K63" i="4" s="1"/>
  <c r="P6" i="2"/>
  <c r="K99" i="4" a="1"/>
  <c r="K99" i="4" s="1"/>
  <c r="F6" i="2"/>
  <c r="K59" i="4" a="1"/>
  <c r="K59" i="4" s="1"/>
  <c r="L6" i="2"/>
  <c r="K83" i="4" a="1"/>
  <c r="K83" i="4" s="1"/>
  <c r="M6" i="2"/>
  <c r="K87" i="4" a="1"/>
  <c r="K87" i="4" s="1"/>
  <c r="H6" i="2"/>
  <c r="K67" i="4" a="1"/>
  <c r="K67" i="4" s="1"/>
  <c r="N6" i="2"/>
  <c r="K91" i="4" a="1"/>
  <c r="K91" i="4" s="1"/>
  <c r="I6" i="2"/>
  <c r="K71" i="4" a="1"/>
  <c r="K71" i="4" s="1"/>
  <c r="O6" i="2"/>
  <c r="K95" i="4" a="1"/>
  <c r="K95" i="4" s="1"/>
  <c r="J6" i="2"/>
  <c r="K75" i="4" a="1"/>
  <c r="K75" i="4" s="1"/>
  <c r="K6" i="2"/>
  <c r="K79" i="4" a="1"/>
  <c r="K79" i="4" s="1"/>
  <c r="I13" i="5" a="1"/>
  <c r="I13" i="5" s="1"/>
  <c r="K13" i="5" s="1" a="1"/>
  <c r="K13" i="5" s="1"/>
  <c r="D14" i="5"/>
  <c r="I14" i="5" s="1" a="1"/>
  <c r="I14" i="5" s="1"/>
  <c r="K14" i="5" s="1" a="1"/>
  <c r="K14" i="5" s="1"/>
  <c r="M13" i="5" a="1"/>
  <c r="M13" i="5" s="1"/>
  <c r="N13" i="5" a="1"/>
  <c r="N13" i="5" s="1"/>
  <c r="L14" i="5" a="1"/>
  <c r="L14" i="5" s="1"/>
  <c r="F14" i="5"/>
  <c r="J15" i="5" a="1"/>
  <c r="J15" i="5" s="1"/>
  <c r="E15" i="5" a="1"/>
  <c r="E15" i="5" s="1"/>
  <c r="H15" i="5"/>
  <c r="G15" i="5" a="1"/>
  <c r="G15" i="5" s="1"/>
  <c r="C16" i="5" a="1"/>
  <c r="C16" i="5" s="1"/>
  <c r="P11" i="5"/>
  <c r="S11" i="5" s="1"/>
  <c r="V12" i="5"/>
  <c r="Q12" i="5"/>
  <c r="R12" i="5" s="1"/>
  <c r="T12" i="5"/>
  <c r="O12" i="5"/>
  <c r="P12" i="5" s="1"/>
  <c r="S12" i="5" s="1"/>
  <c r="BJ6" i="2"/>
  <c r="BI6" i="2"/>
  <c r="CK7" i="2"/>
  <c r="CW33" i="2"/>
  <c r="CW7" i="2" s="1"/>
  <c r="CW6" i="2" s="1"/>
  <c r="CY6" i="2"/>
  <c r="CZ6" i="2"/>
  <c r="BU33" i="2"/>
  <c r="BU7" i="2" s="1"/>
  <c r="BU6" i="2" s="1"/>
  <c r="BI7" i="2"/>
  <c r="AE33" i="2"/>
  <c r="AE7" i="2" s="1"/>
  <c r="AE6" i="2" s="1"/>
  <c r="S7" i="2"/>
  <c r="AG7" i="2"/>
  <c r="AS33" i="2"/>
  <c r="AS7" i="2" s="1"/>
  <c r="AS6" i="2" s="1"/>
  <c r="CK6" i="2"/>
  <c r="CL6" i="2"/>
  <c r="BW6" i="2"/>
  <c r="BX6" i="2"/>
  <c r="AU7" i="2"/>
  <c r="BG33" i="2"/>
  <c r="BG7" i="2" s="1"/>
  <c r="BG6" i="2" s="1"/>
  <c r="CY7" i="2"/>
  <c r="DK33" i="2"/>
  <c r="DK7" i="2" s="1"/>
  <c r="DK6" i="2" s="1"/>
  <c r="BW7" i="2"/>
  <c r="CI33" i="2"/>
  <c r="CI7" i="2" s="1"/>
  <c r="CI6" i="2" s="1"/>
  <c r="DM6" i="2"/>
  <c r="DN6" i="2"/>
  <c r="DM7" i="2"/>
  <c r="DY33" i="2"/>
  <c r="DY7" i="2" s="1"/>
  <c r="DY6" i="2" s="1"/>
  <c r="S6" i="2"/>
  <c r="T6" i="2"/>
  <c r="AG6" i="2"/>
  <c r="AH6" i="2"/>
  <c r="AU6" i="2"/>
  <c r="AV6" i="2"/>
  <c r="Q33" i="2"/>
  <c r="Q7" i="2" s="1"/>
  <c r="E7" i="2"/>
  <c r="E6" i="2" s="1"/>
  <c r="M14" i="5" l="1" a="1"/>
  <c r="M14" i="5" s="1"/>
  <c r="N14" i="5" a="1"/>
  <c r="N14" i="5" s="1"/>
  <c r="U14" i="5"/>
  <c r="V14" i="5"/>
  <c r="W14" i="5"/>
  <c r="O14" i="5"/>
  <c r="P14" i="5"/>
  <c r="Q14" i="5"/>
  <c r="T14" i="5"/>
  <c r="X14" i="5"/>
  <c r="R14" i="5"/>
  <c r="S14" i="5"/>
  <c r="F15" i="5"/>
  <c r="D15" i="5"/>
  <c r="I15" i="5" s="1" a="1"/>
  <c r="I15" i="5" s="1"/>
  <c r="L15" i="5" a="1"/>
  <c r="L15" i="5" s="1"/>
  <c r="K15" i="5" a="1"/>
  <c r="K15" i="5" s="1"/>
  <c r="J16" i="5" a="1"/>
  <c r="J16" i="5" s="1"/>
  <c r="E16" i="5" a="1"/>
  <c r="E16" i="5" s="1"/>
  <c r="G16" i="5" a="1"/>
  <c r="G16" i="5" s="1"/>
  <c r="H16" i="5"/>
  <c r="C17" i="5" a="1"/>
  <c r="C17" i="5" s="1"/>
  <c r="O13" i="5"/>
  <c r="P13" i="5" s="1"/>
  <c r="S13" i="5" s="1"/>
  <c r="V13" i="5"/>
  <c r="Q13" i="5"/>
  <c r="R13" i="5" s="1"/>
  <c r="T13" i="5"/>
  <c r="Q6" i="2"/>
  <c r="M15" i="5" l="1" a="1"/>
  <c r="M15" i="5" s="1"/>
  <c r="N15" i="5" a="1"/>
  <c r="N15" i="5" s="1"/>
  <c r="S15" i="5"/>
  <c r="T15" i="5"/>
  <c r="U15" i="5"/>
  <c r="V15" i="5"/>
  <c r="W15" i="5"/>
  <c r="R15" i="5"/>
  <c r="X15" i="5"/>
  <c r="O15" i="5"/>
  <c r="P15" i="5"/>
  <c r="Q15" i="5"/>
  <c r="F16" i="5"/>
  <c r="D16" i="5"/>
  <c r="L16" i="5" a="1"/>
  <c r="L16" i="5" s="1"/>
  <c r="K16" i="5" a="1"/>
  <c r="K16" i="5" s="1"/>
  <c r="J17" i="5" a="1"/>
  <c r="J17" i="5" s="1"/>
  <c r="E17" i="5" a="1"/>
  <c r="E17" i="5" s="1"/>
  <c r="G17" i="5" a="1"/>
  <c r="G17" i="5" s="1"/>
  <c r="H17" i="5"/>
  <c r="C18" i="5" a="1"/>
  <c r="C18" i="5" s="1"/>
  <c r="U12" i="5"/>
  <c r="U11" i="5"/>
  <c r="W11" i="5" s="1"/>
  <c r="X11" i="5" s="1"/>
  <c r="U13" i="5"/>
  <c r="W13" i="5" l="1"/>
  <c r="X13" i="5" s="1"/>
  <c r="M16" i="5" a="1"/>
  <c r="M16" i="5" s="1"/>
  <c r="N16" i="5" a="1"/>
  <c r="N16" i="5" s="1"/>
  <c r="Q16" i="5"/>
  <c r="R16" i="5"/>
  <c r="U16" i="5"/>
  <c r="V16" i="5"/>
  <c r="W16" i="5"/>
  <c r="O16" i="5"/>
  <c r="P16" i="5"/>
  <c r="T16" i="5"/>
  <c r="X16" i="5"/>
  <c r="S16" i="5"/>
  <c r="I16" i="5" a="1"/>
  <c r="I16" i="5" s="1"/>
  <c r="D17" i="5"/>
  <c r="L17" i="5" a="1"/>
  <c r="L17" i="5" s="1"/>
  <c r="F17" i="5"/>
  <c r="J18" i="5" a="1"/>
  <c r="J18" i="5" s="1"/>
  <c r="E18" i="5" a="1"/>
  <c r="E18" i="5" s="1"/>
  <c r="G18" i="5" a="1"/>
  <c r="G18" i="5" s="1"/>
  <c r="H18" i="5"/>
  <c r="C19" i="5" a="1"/>
  <c r="C19" i="5" s="1"/>
  <c r="W12" i="5"/>
  <c r="X12" i="5" s="1"/>
  <c r="Y15" i="5" l="1"/>
  <c r="Z15" i="5"/>
  <c r="AA15" i="5"/>
  <c r="AC15" i="5" s="1"/>
  <c r="AD15" i="5"/>
  <c r="AB15" i="5"/>
  <c r="Z16" i="5"/>
  <c r="AA16" i="5"/>
  <c r="F36" i="4" a="1"/>
  <c r="F36" i="4" s="1"/>
  <c r="F37" i="4" a="1"/>
  <c r="F37" i="4" s="1"/>
  <c r="F41" i="4" a="1"/>
  <c r="F41" i="4" s="1"/>
  <c r="F35" i="4" a="1"/>
  <c r="F35" i="4" s="1"/>
  <c r="E35" i="4" s="1" a="1"/>
  <c r="E35" i="4" s="1"/>
  <c r="AI12" i="5" s="1"/>
  <c r="I17" i="5" a="1"/>
  <c r="I17" i="5" s="1"/>
  <c r="K17" i="5" s="1" a="1"/>
  <c r="K17" i="5" s="1"/>
  <c r="D18" i="5"/>
  <c r="M17" i="5" a="1"/>
  <c r="M17" i="5" s="1"/>
  <c r="V17" i="5" s="1"/>
  <c r="L18" i="5" a="1"/>
  <c r="L18" i="5" s="1"/>
  <c r="F18" i="5"/>
  <c r="J19" i="5" a="1"/>
  <c r="J19" i="5" s="1"/>
  <c r="E19" i="5" a="1"/>
  <c r="E19" i="5" s="1"/>
  <c r="G19" i="5" a="1"/>
  <c r="G19" i="5" s="1"/>
  <c r="H19" i="5"/>
  <c r="C20" i="5" a="1"/>
  <c r="C20" i="5" s="1"/>
  <c r="Y16" i="5"/>
  <c r="Y14" i="5"/>
  <c r="AA14" i="5"/>
  <c r="Z14" i="5"/>
  <c r="Y13" i="5"/>
  <c r="Z13" i="5"/>
  <c r="AA13" i="5"/>
  <c r="Z12" i="5"/>
  <c r="Y12" i="5"/>
  <c r="AA12" i="5"/>
  <c r="AJ18" i="5" l="1"/>
  <c r="AC16" i="5"/>
  <c r="AD16" i="5"/>
  <c r="AB16" i="5"/>
  <c r="AJ13" i="5"/>
  <c r="E36" i="4" a="1"/>
  <c r="E36" i="4" s="1"/>
  <c r="AI13" i="5" s="1"/>
  <c r="AJ14" i="5"/>
  <c r="E37" i="4" a="1"/>
  <c r="E37" i="4" s="1"/>
  <c r="AI14" i="5" s="1"/>
  <c r="AJ12" i="5"/>
  <c r="AB14" i="5"/>
  <c r="I18" i="5" a="1"/>
  <c r="I18" i="5" s="1"/>
  <c r="K18" i="5" s="1" a="1"/>
  <c r="K18" i="5" s="1"/>
  <c r="D19" i="5"/>
  <c r="M18" i="5" a="1"/>
  <c r="M18" i="5" s="1"/>
  <c r="V18" i="5" s="1"/>
  <c r="L19" i="5" a="1"/>
  <c r="L19" i="5" s="1"/>
  <c r="F19" i="5"/>
  <c r="J20" i="5" a="1"/>
  <c r="J20" i="5" s="1"/>
  <c r="E20" i="5" a="1"/>
  <c r="E20" i="5" s="1"/>
  <c r="H20" i="5"/>
  <c r="G20" i="5" a="1"/>
  <c r="G20" i="5" s="1"/>
  <c r="C21" i="5" a="1"/>
  <c r="C21" i="5" s="1"/>
  <c r="AC14" i="5"/>
  <c r="AD14" i="5"/>
  <c r="AD13" i="5"/>
  <c r="AC13" i="5"/>
  <c r="AD12" i="5"/>
  <c r="AC12" i="5"/>
  <c r="AB13" i="5"/>
  <c r="AB12" i="5"/>
  <c r="I19" i="5" l="1" a="1"/>
  <c r="I19" i="5" s="1"/>
  <c r="K19" i="5" s="1" a="1"/>
  <c r="K19" i="5" s="1"/>
  <c r="D20" i="5"/>
  <c r="M19" i="5" a="1"/>
  <c r="M19" i="5" s="1"/>
  <c r="V19" i="5" s="1"/>
  <c r="L20" i="5" a="1"/>
  <c r="L20" i="5" s="1"/>
  <c r="F20" i="5"/>
  <c r="J21" i="5" a="1"/>
  <c r="J21" i="5" s="1"/>
  <c r="E21" i="5" a="1"/>
  <c r="E21" i="5" s="1"/>
  <c r="H21" i="5"/>
  <c r="G21" i="5" a="1"/>
  <c r="G21" i="5" s="1"/>
  <c r="C22" i="5" a="1"/>
  <c r="C22" i="5" s="1"/>
  <c r="I20" i="5" l="1" a="1"/>
  <c r="I20" i="5" s="1"/>
  <c r="K20" i="5" s="1" a="1"/>
  <c r="K20" i="5" s="1"/>
  <c r="D21" i="5"/>
  <c r="M20" i="5" a="1"/>
  <c r="M20" i="5" s="1"/>
  <c r="V20" i="5" s="1"/>
  <c r="L21" i="5" a="1"/>
  <c r="L21" i="5" s="1"/>
  <c r="F21" i="5"/>
  <c r="J22" i="5" a="1"/>
  <c r="J22" i="5" s="1"/>
  <c r="E22" i="5" a="1"/>
  <c r="E22" i="5" s="1"/>
  <c r="G22" i="5" a="1"/>
  <c r="G22" i="5" s="1"/>
  <c r="H22" i="5"/>
  <c r="C23" i="5" a="1"/>
  <c r="C23" i="5" s="1"/>
  <c r="I21" i="5" l="1" a="1"/>
  <c r="I21" i="5" s="1"/>
  <c r="K21" i="5" s="1" a="1"/>
  <c r="K21" i="5" s="1"/>
  <c r="D22" i="5"/>
  <c r="M21" i="5" a="1"/>
  <c r="M21" i="5" s="1"/>
  <c r="L22" i="5" a="1"/>
  <c r="L22" i="5" s="1"/>
  <c r="F22" i="5"/>
  <c r="J23" i="5" a="1"/>
  <c r="J23" i="5" s="1"/>
  <c r="E23" i="5" a="1"/>
  <c r="E23" i="5" s="1"/>
  <c r="H23" i="5"/>
  <c r="G23" i="5" a="1"/>
  <c r="G23" i="5" s="1"/>
  <c r="C24" i="5" a="1"/>
  <c r="C24" i="5" s="1"/>
  <c r="I22" i="5" l="1" a="1"/>
  <c r="I22" i="5" s="1"/>
  <c r="K22" i="5" s="1" a="1"/>
  <c r="K22" i="5" s="1"/>
  <c r="D23" i="5"/>
  <c r="M22" i="5" a="1"/>
  <c r="M22" i="5" s="1"/>
  <c r="L23" i="5" a="1"/>
  <c r="L23" i="5" s="1"/>
  <c r="F23" i="5"/>
  <c r="J24" i="5" a="1"/>
  <c r="J24" i="5" s="1"/>
  <c r="E24" i="5" a="1"/>
  <c r="E24" i="5" s="1"/>
  <c r="G24" i="5" a="1"/>
  <c r="G24" i="5" s="1"/>
  <c r="H24" i="5"/>
  <c r="C25" i="5" a="1"/>
  <c r="C25" i="5" s="1"/>
  <c r="V21" i="5"/>
  <c r="N21" i="5" l="1" a="1"/>
  <c r="N21" i="5" s="1"/>
  <c r="Q21" i="5" s="1"/>
  <c r="N20" i="5" a="1"/>
  <c r="N20" i="5" s="1"/>
  <c r="I23" i="5" a="1"/>
  <c r="I23" i="5" s="1"/>
  <c r="K23" i="5" s="1" a="1"/>
  <c r="K23" i="5" s="1"/>
  <c r="D24" i="5"/>
  <c r="M23" i="5" a="1"/>
  <c r="M23" i="5" s="1"/>
  <c r="N23" i="5" a="1"/>
  <c r="N23" i="5" s="1"/>
  <c r="L24" i="5" a="1"/>
  <c r="L24" i="5" s="1"/>
  <c r="F24" i="5"/>
  <c r="J25" i="5" a="1"/>
  <c r="J25" i="5" s="1"/>
  <c r="E25" i="5" a="1"/>
  <c r="E25" i="5" s="1"/>
  <c r="G25" i="5" a="1"/>
  <c r="G25" i="5" s="1"/>
  <c r="H25" i="5"/>
  <c r="C26" i="5" a="1"/>
  <c r="C26" i="5" s="1"/>
  <c r="V22" i="5"/>
  <c r="N22" i="5" a="1"/>
  <c r="N22" i="5" s="1"/>
  <c r="N19" i="5" a="1"/>
  <c r="N19" i="5" s="1"/>
  <c r="T21" i="5" l="1"/>
  <c r="O21" i="5"/>
  <c r="O20" i="5"/>
  <c r="Q20" i="5"/>
  <c r="T20" i="5"/>
  <c r="Q22" i="5"/>
  <c r="T22" i="5"/>
  <c r="O22" i="5"/>
  <c r="I24" i="5" a="1"/>
  <c r="I24" i="5" s="1"/>
  <c r="K24" i="5" s="1" a="1"/>
  <c r="K24" i="5" s="1"/>
  <c r="D25" i="5"/>
  <c r="M24" i="5" a="1"/>
  <c r="M24" i="5" s="1"/>
  <c r="N24" i="5" a="1"/>
  <c r="N24" i="5" s="1"/>
  <c r="L25" i="5" a="1"/>
  <c r="L25" i="5" s="1"/>
  <c r="F25" i="5"/>
  <c r="J26" i="5" a="1"/>
  <c r="J26" i="5" s="1"/>
  <c r="E26" i="5" a="1"/>
  <c r="E26" i="5" s="1"/>
  <c r="H26" i="5"/>
  <c r="G26" i="5" a="1"/>
  <c r="G26" i="5" s="1"/>
  <c r="C27" i="5" a="1"/>
  <c r="C27" i="5" s="1"/>
  <c r="Q19" i="5"/>
  <c r="R19" i="5" s="1"/>
  <c r="T19" i="5"/>
  <c r="O19" i="5"/>
  <c r="O23" i="5"/>
  <c r="T23" i="5"/>
  <c r="V23" i="5"/>
  <c r="Q23" i="5"/>
  <c r="R23" i="5" s="1"/>
  <c r="V24" i="5" l="1"/>
  <c r="Q24" i="5"/>
  <c r="R24" i="5" s="1"/>
  <c r="O24" i="5"/>
  <c r="T24" i="5"/>
  <c r="I25" i="5" a="1"/>
  <c r="I25" i="5" s="1"/>
  <c r="K25" i="5" s="1" a="1"/>
  <c r="K25" i="5" s="1"/>
  <c r="D26" i="5"/>
  <c r="I26" i="5" s="1" a="1"/>
  <c r="I26" i="5" s="1"/>
  <c r="K26" i="5" s="1" a="1"/>
  <c r="K26" i="5" s="1"/>
  <c r="R22" i="5"/>
  <c r="R21" i="5"/>
  <c r="R20" i="5"/>
  <c r="M25" i="5" a="1"/>
  <c r="M25" i="5" s="1"/>
  <c r="N25" i="5" a="1"/>
  <c r="N25" i="5" s="1"/>
  <c r="L26" i="5" a="1"/>
  <c r="L26" i="5" s="1"/>
  <c r="F26" i="5"/>
  <c r="J27" i="5" a="1"/>
  <c r="J27" i="5" s="1"/>
  <c r="E27" i="5" a="1"/>
  <c r="E27" i="5" s="1"/>
  <c r="G27" i="5" a="1"/>
  <c r="G27" i="5" s="1"/>
  <c r="H27" i="5"/>
  <c r="C28" i="5" a="1"/>
  <c r="C28" i="5" s="1"/>
  <c r="P19" i="5"/>
  <c r="S19" i="5" s="1"/>
  <c r="P23" i="5"/>
  <c r="S23" i="5" s="1"/>
  <c r="P24" i="5"/>
  <c r="S24" i="5" s="1"/>
  <c r="V25" i="5" l="1"/>
  <c r="O25" i="5"/>
  <c r="Q25" i="5"/>
  <c r="R25" i="5" s="1"/>
  <c r="T25" i="5"/>
  <c r="P21" i="5"/>
  <c r="S21" i="5" s="1"/>
  <c r="P20" i="5"/>
  <c r="S20" i="5" s="1"/>
  <c r="P22" i="5"/>
  <c r="S22" i="5" s="1"/>
  <c r="P25" i="5"/>
  <c r="S25" i="5" s="1"/>
  <c r="M26" i="5" a="1"/>
  <c r="M26" i="5" s="1"/>
  <c r="N26" i="5" a="1"/>
  <c r="N26" i="5" s="1"/>
  <c r="S26" i="5"/>
  <c r="U26" i="5"/>
  <c r="V26" i="5"/>
  <c r="W26" i="5"/>
  <c r="R26" i="5"/>
  <c r="X26" i="5"/>
  <c r="O26" i="5"/>
  <c r="P26" i="5"/>
  <c r="Q26" i="5"/>
  <c r="T26" i="5"/>
  <c r="F27" i="5"/>
  <c r="D27" i="5"/>
  <c r="I27" i="5" s="1" a="1"/>
  <c r="I27" i="5" s="1"/>
  <c r="L27" i="5" a="1"/>
  <c r="L27" i="5" s="1"/>
  <c r="K27" i="5" a="1"/>
  <c r="K27" i="5" s="1"/>
  <c r="J28" i="5" a="1"/>
  <c r="J28" i="5" s="1"/>
  <c r="E28" i="5" a="1"/>
  <c r="E28" i="5" s="1"/>
  <c r="G28" i="5" a="1"/>
  <c r="G28" i="5" s="1"/>
  <c r="H28" i="5"/>
  <c r="C29" i="5" a="1"/>
  <c r="C29" i="5" s="1"/>
  <c r="M27" i="5" l="1" a="1"/>
  <c r="M27" i="5" s="1"/>
  <c r="N27" i="5" a="1"/>
  <c r="N27" i="5" s="1"/>
  <c r="U27" i="5"/>
  <c r="V27" i="5"/>
  <c r="W27" i="5"/>
  <c r="O27" i="5"/>
  <c r="P27" i="5"/>
  <c r="Q27" i="5"/>
  <c r="R27" i="5"/>
  <c r="T27" i="5"/>
  <c r="X27" i="5"/>
  <c r="S27" i="5"/>
  <c r="F28" i="5"/>
  <c r="D28" i="5"/>
  <c r="K28" i="5" a="1"/>
  <c r="K28" i="5" s="1"/>
  <c r="L28" i="5" a="1"/>
  <c r="L28" i="5" s="1"/>
  <c r="J29" i="5" a="1"/>
  <c r="J29" i="5" s="1"/>
  <c r="E29" i="5" a="1"/>
  <c r="E29" i="5" s="1"/>
  <c r="G29" i="5" a="1"/>
  <c r="G29" i="5" s="1"/>
  <c r="H29" i="5"/>
  <c r="C30" i="5" a="1"/>
  <c r="C30" i="5" s="1"/>
  <c r="M28" i="5" l="1" a="1"/>
  <c r="M28" i="5" s="1"/>
  <c r="N28" i="5" a="1"/>
  <c r="N28" i="5" s="1"/>
  <c r="O28" i="5"/>
  <c r="P28" i="5"/>
  <c r="R28" i="5"/>
  <c r="T28" i="5"/>
  <c r="U28" i="5"/>
  <c r="V28" i="5"/>
  <c r="W28" i="5"/>
  <c r="X28" i="5"/>
  <c r="Q28" i="5"/>
  <c r="S28" i="5"/>
  <c r="I28" i="5" a="1"/>
  <c r="I28" i="5" s="1"/>
  <c r="D29" i="5"/>
  <c r="L29" i="5" a="1"/>
  <c r="L29" i="5" s="1"/>
  <c r="F29" i="5"/>
  <c r="J30" i="5" a="1"/>
  <c r="J30" i="5" s="1"/>
  <c r="E30" i="5" a="1"/>
  <c r="E30" i="5" s="1"/>
  <c r="G30" i="5" a="1"/>
  <c r="G30" i="5" s="1"/>
  <c r="H30" i="5"/>
  <c r="C31" i="5" a="1"/>
  <c r="C31" i="5" s="1"/>
  <c r="I29" i="5" l="1" a="1"/>
  <c r="I29" i="5" s="1"/>
  <c r="K29" i="5" s="1" a="1"/>
  <c r="K29" i="5" s="1"/>
  <c r="D30" i="5"/>
  <c r="M29" i="5" a="1"/>
  <c r="M29" i="5" s="1"/>
  <c r="V29" i="5" s="1"/>
  <c r="L30" i="5" a="1"/>
  <c r="L30" i="5" s="1"/>
  <c r="F30" i="5"/>
  <c r="J31" i="5" a="1"/>
  <c r="J31" i="5" s="1"/>
  <c r="E31" i="5" a="1"/>
  <c r="E31" i="5" s="1"/>
  <c r="H31" i="5"/>
  <c r="G31" i="5" a="1"/>
  <c r="G31" i="5" s="1"/>
  <c r="C32" i="5" a="1"/>
  <c r="C32" i="5" s="1"/>
  <c r="I30" i="5" l="1" a="1"/>
  <c r="I30" i="5" s="1"/>
  <c r="K30" i="5" s="1" a="1"/>
  <c r="K30" i="5" s="1"/>
  <c r="D31" i="5"/>
  <c r="M30" i="5" a="1"/>
  <c r="M30" i="5" s="1"/>
  <c r="L31" i="5" a="1"/>
  <c r="L31" i="5" s="1"/>
  <c r="F31" i="5"/>
  <c r="J32" i="5" a="1"/>
  <c r="J32" i="5" s="1"/>
  <c r="E32" i="5" a="1"/>
  <c r="E32" i="5" s="1"/>
  <c r="G32" i="5" a="1"/>
  <c r="G32" i="5" s="1"/>
  <c r="H32" i="5"/>
  <c r="C33" i="5" a="1"/>
  <c r="C33" i="5" s="1"/>
  <c r="N30" i="5" s="1" a="1"/>
  <c r="N30" i="5" s="1"/>
  <c r="Q30" i="5" l="1"/>
  <c r="V30" i="5"/>
  <c r="I31" i="5" a="1"/>
  <c r="I31" i="5" s="1"/>
  <c r="K31" i="5" s="1" a="1"/>
  <c r="K31" i="5" s="1"/>
  <c r="D32" i="5"/>
  <c r="M31" i="5" a="1"/>
  <c r="M31" i="5" s="1"/>
  <c r="N31" i="5" a="1"/>
  <c r="N31" i="5" s="1"/>
  <c r="L32" i="5" a="1"/>
  <c r="L32" i="5" s="1"/>
  <c r="F32" i="5"/>
  <c r="N29" i="5" a="1"/>
  <c r="N29" i="5" s="1"/>
  <c r="J33" i="5" a="1"/>
  <c r="J33" i="5" s="1"/>
  <c r="E33" i="5" a="1"/>
  <c r="E33" i="5" s="1"/>
  <c r="G33" i="5" a="1"/>
  <c r="G33" i="5" s="1"/>
  <c r="H33" i="5"/>
  <c r="C34" i="5" a="1"/>
  <c r="C34" i="5" s="1"/>
  <c r="T30" i="5"/>
  <c r="O30" i="5"/>
  <c r="I32" i="5" l="1" a="1"/>
  <c r="I32" i="5" s="1"/>
  <c r="K32" i="5" s="1" a="1"/>
  <c r="K32" i="5" s="1"/>
  <c r="D33" i="5"/>
  <c r="R30" i="5"/>
  <c r="M32" i="5" a="1"/>
  <c r="M32" i="5" s="1"/>
  <c r="N32" i="5" a="1"/>
  <c r="N32" i="5" s="1"/>
  <c r="O29" i="5"/>
  <c r="Q29" i="5"/>
  <c r="R29" i="5" s="1"/>
  <c r="T29" i="5"/>
  <c r="L33" i="5" a="1"/>
  <c r="L33" i="5" s="1"/>
  <c r="F33" i="5"/>
  <c r="J34" i="5" a="1"/>
  <c r="J34" i="5" s="1"/>
  <c r="E34" i="5" a="1"/>
  <c r="E34" i="5" s="1"/>
  <c r="G34" i="5" a="1"/>
  <c r="G34" i="5" s="1"/>
  <c r="H34" i="5"/>
  <c r="C35" i="5" a="1"/>
  <c r="C35" i="5" s="1"/>
  <c r="O31" i="5"/>
  <c r="V31" i="5"/>
  <c r="Q31" i="5"/>
  <c r="R31" i="5" s="1"/>
  <c r="T31" i="5"/>
  <c r="O32" i="5" l="1"/>
  <c r="I33" i="5" a="1"/>
  <c r="I33" i="5" s="1"/>
  <c r="K33" i="5" s="1" a="1"/>
  <c r="K33" i="5" s="1"/>
  <c r="D34" i="5"/>
  <c r="I34" i="5" s="1" a="1"/>
  <c r="I34" i="5" s="1"/>
  <c r="K34" i="5" s="1" a="1"/>
  <c r="K34" i="5" s="1"/>
  <c r="M33" i="5" a="1"/>
  <c r="M33" i="5" s="1"/>
  <c r="N33" i="5" a="1"/>
  <c r="N33" i="5" s="1"/>
  <c r="L34" i="5" a="1"/>
  <c r="L34" i="5" s="1"/>
  <c r="F34" i="5"/>
  <c r="J35" i="5" a="1"/>
  <c r="J35" i="5" s="1"/>
  <c r="E35" i="5" a="1"/>
  <c r="E35" i="5" s="1"/>
  <c r="H35" i="5"/>
  <c r="G35" i="5" a="1"/>
  <c r="G35" i="5" s="1"/>
  <c r="C36" i="5" a="1"/>
  <c r="C36" i="5" s="1"/>
  <c r="P32" i="5"/>
  <c r="S32" i="5" s="1"/>
  <c r="P29" i="5"/>
  <c r="S29" i="5" s="1"/>
  <c r="P31" i="5"/>
  <c r="S31" i="5" s="1"/>
  <c r="V32" i="5"/>
  <c r="Q32" i="5"/>
  <c r="R32" i="5" s="1"/>
  <c r="T32" i="5"/>
  <c r="O33" i="5" l="1"/>
  <c r="P30" i="5"/>
  <c r="S30" i="5" s="1"/>
  <c r="P33" i="5"/>
  <c r="S33" i="5" s="1"/>
  <c r="U33" i="5" s="1"/>
  <c r="P34" i="5"/>
  <c r="Q34" i="5"/>
  <c r="R34" i="5"/>
  <c r="S34" i="5"/>
  <c r="T34" i="5"/>
  <c r="M34" i="5" a="1"/>
  <c r="M34" i="5" s="1"/>
  <c r="N34" i="5" a="1"/>
  <c r="N34" i="5" s="1"/>
  <c r="O34" i="5"/>
  <c r="U34" i="5"/>
  <c r="V34" i="5"/>
  <c r="W34" i="5"/>
  <c r="X34" i="5"/>
  <c r="F35" i="5"/>
  <c r="D35" i="5"/>
  <c r="I35" i="5" s="1" a="1"/>
  <c r="I35" i="5" s="1"/>
  <c r="K35" i="5" a="1"/>
  <c r="K35" i="5" s="1"/>
  <c r="L35" i="5" a="1"/>
  <c r="L35" i="5" s="1"/>
  <c r="J36" i="5" a="1"/>
  <c r="J36" i="5" s="1"/>
  <c r="E36" i="5" a="1"/>
  <c r="E36" i="5" s="1"/>
  <c r="G36" i="5" a="1"/>
  <c r="G36" i="5" s="1"/>
  <c r="H36" i="5"/>
  <c r="C37" i="5" a="1"/>
  <c r="C37" i="5" s="1"/>
  <c r="Q33" i="5"/>
  <c r="R33" i="5" s="1"/>
  <c r="T33" i="5"/>
  <c r="V33" i="5"/>
  <c r="U31" i="5" l="1"/>
  <c r="U29" i="5"/>
  <c r="U32" i="5"/>
  <c r="U30" i="5"/>
  <c r="M35" i="5" a="1"/>
  <c r="M35" i="5" s="1"/>
  <c r="N35" i="5" a="1"/>
  <c r="N35" i="5" s="1"/>
  <c r="O35" i="5"/>
  <c r="Q35" i="5"/>
  <c r="U35" i="5"/>
  <c r="V35" i="5"/>
  <c r="W35" i="5"/>
  <c r="X35" i="5"/>
  <c r="P35" i="5"/>
  <c r="R35" i="5"/>
  <c r="S35" i="5"/>
  <c r="T35" i="5"/>
  <c r="D36" i="5"/>
  <c r="I36" i="5" s="1" a="1"/>
  <c r="I36" i="5" s="1"/>
  <c r="K36" i="5" a="1"/>
  <c r="K36" i="5" s="1"/>
  <c r="L36" i="5" a="1"/>
  <c r="L36" i="5" s="1"/>
  <c r="F36" i="5"/>
  <c r="J37" i="5" a="1"/>
  <c r="J37" i="5" s="1"/>
  <c r="E37" i="5" a="1"/>
  <c r="E37" i="5" s="1"/>
  <c r="H37" i="5"/>
  <c r="G37" i="5" a="1"/>
  <c r="G37" i="5" s="1"/>
  <c r="C38" i="5" a="1"/>
  <c r="C38" i="5" s="1"/>
  <c r="W32" i="5" l="1"/>
  <c r="X32" i="5" s="1"/>
  <c r="W33" i="5"/>
  <c r="X33" i="5" s="1"/>
  <c r="W29" i="5"/>
  <c r="X29" i="5" s="1"/>
  <c r="Q36" i="5"/>
  <c r="P36" i="5"/>
  <c r="R36" i="5"/>
  <c r="T36" i="5"/>
  <c r="M36" i="5" a="1"/>
  <c r="M36" i="5" s="1"/>
  <c r="N36" i="5" a="1"/>
  <c r="N36" i="5" s="1"/>
  <c r="O36" i="5"/>
  <c r="S36" i="5"/>
  <c r="U36" i="5"/>
  <c r="V36" i="5"/>
  <c r="W36" i="5"/>
  <c r="X36" i="5"/>
  <c r="F37" i="5"/>
  <c r="D37" i="5"/>
  <c r="I37" i="5" s="1" a="1"/>
  <c r="I37" i="5" s="1"/>
  <c r="L37" i="5" a="1"/>
  <c r="L37" i="5" s="1"/>
  <c r="K37" i="5" a="1"/>
  <c r="K37" i="5" s="1"/>
  <c r="J38" i="5" a="1"/>
  <c r="J38" i="5" s="1"/>
  <c r="E38" i="5" a="1"/>
  <c r="E38" i="5" s="1"/>
  <c r="H38" i="5"/>
  <c r="G38" i="5" a="1"/>
  <c r="G38" i="5" s="1"/>
  <c r="C39" i="5" a="1"/>
  <c r="C39" i="5" s="1"/>
  <c r="W30" i="5"/>
  <c r="X30" i="5" s="1"/>
  <c r="W31" i="5"/>
  <c r="X31" i="5" s="1"/>
  <c r="M37" i="5" l="1" a="1"/>
  <c r="M37" i="5" s="1"/>
  <c r="N37" i="5" a="1"/>
  <c r="N37" i="5" s="1"/>
  <c r="O37" i="5"/>
  <c r="T37" i="5"/>
  <c r="U37" i="5"/>
  <c r="V37" i="5"/>
  <c r="W37" i="5"/>
  <c r="X37" i="5"/>
  <c r="Q37" i="5"/>
  <c r="R37" i="5"/>
  <c r="P37" i="5"/>
  <c r="S37" i="5"/>
  <c r="D38" i="5"/>
  <c r="I38" i="5" s="1" a="1"/>
  <c r="I38" i="5" s="1"/>
  <c r="F38" i="5"/>
  <c r="K38" i="5" a="1"/>
  <c r="K38" i="5" s="1"/>
  <c r="L38" i="5" a="1"/>
  <c r="L38" i="5" s="1"/>
  <c r="Y38" i="5"/>
  <c r="Z38" i="5"/>
  <c r="AA38" i="5"/>
  <c r="AB38" i="5"/>
  <c r="AC38" i="5"/>
  <c r="AD38" i="5"/>
  <c r="J39" i="5" a="1"/>
  <c r="J39" i="5" s="1"/>
  <c r="E39" i="5" a="1"/>
  <c r="E39" i="5" s="1"/>
  <c r="G39" i="5" a="1"/>
  <c r="G39" i="5" s="1"/>
  <c r="H39" i="5"/>
  <c r="C40" i="5" a="1"/>
  <c r="C40" i="5" s="1"/>
  <c r="M38" i="5" l="1" a="1"/>
  <c r="M38" i="5" s="1"/>
  <c r="N38" i="5" a="1"/>
  <c r="N38" i="5" s="1"/>
  <c r="O38" i="5"/>
  <c r="V38" i="5"/>
  <c r="W38" i="5"/>
  <c r="X38" i="5"/>
  <c r="S38" i="5"/>
  <c r="U38" i="5"/>
  <c r="P38" i="5"/>
  <c r="Q38" i="5"/>
  <c r="R38" i="5"/>
  <c r="T38" i="5"/>
  <c r="D39" i="5"/>
  <c r="I39" i="5" s="1" a="1"/>
  <c r="I39" i="5" s="1"/>
  <c r="K39" i="5" a="1"/>
  <c r="K39" i="5" s="1"/>
  <c r="L39" i="5" a="1"/>
  <c r="L39" i="5" s="1"/>
  <c r="F39" i="5"/>
  <c r="Y39" i="5"/>
  <c r="Z39" i="5"/>
  <c r="AA39" i="5"/>
  <c r="AC39" i="5"/>
  <c r="AB39" i="5"/>
  <c r="AD39" i="5"/>
  <c r="J40" i="5" a="1"/>
  <c r="J40" i="5" s="1"/>
  <c r="E40" i="5" a="1"/>
  <c r="E40" i="5" s="1"/>
  <c r="G40" i="5" a="1"/>
  <c r="G40" i="5" s="1"/>
  <c r="H40" i="5"/>
  <c r="C41" i="5" a="1"/>
  <c r="C41" i="5" s="1"/>
  <c r="R39" i="5" l="1"/>
  <c r="V39" i="5"/>
  <c r="W39" i="5"/>
  <c r="X39" i="5"/>
  <c r="Q39" i="5"/>
  <c r="T39" i="5"/>
  <c r="U39" i="5"/>
  <c r="P39" i="5"/>
  <c r="S39" i="5"/>
  <c r="M39" i="5" a="1"/>
  <c r="M39" i="5" s="1"/>
  <c r="N39" i="5" a="1"/>
  <c r="N39" i="5" s="1"/>
  <c r="O39" i="5"/>
  <c r="D40" i="5"/>
  <c r="I40" i="5" s="1" a="1"/>
  <c r="I40" i="5" s="1"/>
  <c r="L40" i="5" a="1"/>
  <c r="L40" i="5" s="1"/>
  <c r="F40" i="5"/>
  <c r="K40" i="5" a="1"/>
  <c r="K40" i="5" s="1"/>
  <c r="Y40" i="5"/>
  <c r="AB40" i="5"/>
  <c r="AC40" i="5"/>
  <c r="Z40" i="5"/>
  <c r="AA40" i="5"/>
  <c r="AD40" i="5"/>
  <c r="J41" i="5" a="1"/>
  <c r="J41" i="5" s="1"/>
  <c r="E41" i="5" a="1"/>
  <c r="E41" i="5" s="1"/>
  <c r="G41" i="5" a="1"/>
  <c r="G41" i="5" s="1"/>
  <c r="H41" i="5"/>
  <c r="C42" i="5" a="1"/>
  <c r="C42" i="5" s="1"/>
  <c r="R40" i="5" l="1"/>
  <c r="T40" i="5"/>
  <c r="M40" i="5" a="1"/>
  <c r="M40" i="5" s="1"/>
  <c r="N40" i="5" a="1"/>
  <c r="N40" i="5" s="1"/>
  <c r="O40" i="5"/>
  <c r="Q40" i="5"/>
  <c r="V40" i="5"/>
  <c r="W40" i="5"/>
  <c r="X40" i="5"/>
  <c r="P40" i="5"/>
  <c r="S40" i="5"/>
  <c r="U40" i="5"/>
  <c r="D41" i="5"/>
  <c r="I41" i="5" s="1" a="1"/>
  <c r="I41" i="5" s="1"/>
  <c r="K41" i="5" a="1"/>
  <c r="K41" i="5" s="1"/>
  <c r="L41" i="5" a="1"/>
  <c r="L41" i="5" s="1"/>
  <c r="F41" i="5"/>
  <c r="Y41" i="5"/>
  <c r="Z41" i="5"/>
  <c r="AA41" i="5"/>
  <c r="AD41" i="5"/>
  <c r="AB41" i="5"/>
  <c r="AC41" i="5"/>
  <c r="J42" i="5" a="1"/>
  <c r="J42" i="5" s="1"/>
  <c r="E42" i="5" a="1"/>
  <c r="E42" i="5" s="1"/>
  <c r="H42" i="5"/>
  <c r="G42" i="5" a="1"/>
  <c r="G42" i="5" s="1"/>
  <c r="C43" i="5" a="1"/>
  <c r="C43" i="5" s="1"/>
  <c r="Q41" i="5" l="1"/>
  <c r="R41" i="5"/>
  <c r="U41" i="5"/>
  <c r="P41" i="5"/>
  <c r="T41" i="5"/>
  <c r="M41" i="5" a="1"/>
  <c r="M41" i="5" s="1"/>
  <c r="N41" i="5" a="1"/>
  <c r="N41" i="5" s="1"/>
  <c r="O41" i="5"/>
  <c r="S41" i="5"/>
  <c r="V41" i="5"/>
  <c r="W41" i="5"/>
  <c r="X41" i="5"/>
  <c r="F42" i="5"/>
  <c r="D42" i="5"/>
  <c r="I42" i="5" s="1" a="1"/>
  <c r="I42" i="5" s="1"/>
  <c r="L42" i="5" a="1"/>
  <c r="L42" i="5" s="1"/>
  <c r="K42" i="5" a="1"/>
  <c r="K42" i="5" s="1"/>
  <c r="Y42" i="5"/>
  <c r="Z42" i="5"/>
  <c r="AB42" i="5"/>
  <c r="AC42" i="5"/>
  <c r="AA42" i="5"/>
  <c r="AD42" i="5"/>
  <c r="J43" i="5" a="1"/>
  <c r="J43" i="5" s="1"/>
  <c r="E43" i="5" a="1"/>
  <c r="E43" i="5" s="1"/>
  <c r="G43" i="5" a="1"/>
  <c r="G43" i="5" s="1"/>
  <c r="H43" i="5"/>
  <c r="C44" i="5" a="1"/>
  <c r="C44" i="5" s="1"/>
  <c r="M42" i="5" l="1" a="1"/>
  <c r="M42" i="5" s="1"/>
  <c r="N42" i="5" a="1"/>
  <c r="N42" i="5" s="1"/>
  <c r="O42" i="5"/>
  <c r="R42" i="5"/>
  <c r="T42" i="5"/>
  <c r="V42" i="5"/>
  <c r="W42" i="5"/>
  <c r="X42" i="5"/>
  <c r="P42" i="5"/>
  <c r="U42" i="5"/>
  <c r="Q42" i="5"/>
  <c r="S42" i="5"/>
  <c r="D43" i="5"/>
  <c r="I43" i="5" s="1" a="1"/>
  <c r="I43" i="5" s="1"/>
  <c r="F43" i="5"/>
  <c r="K43" i="5" a="1"/>
  <c r="K43" i="5" s="1"/>
  <c r="L43" i="5" a="1"/>
  <c r="L43" i="5" s="1"/>
  <c r="Y43" i="5"/>
  <c r="AD43" i="5"/>
  <c r="Z43" i="5"/>
  <c r="AA43" i="5"/>
  <c r="AB43" i="5"/>
  <c r="AC43" i="5"/>
  <c r="J44" i="5" a="1"/>
  <c r="J44" i="5" s="1"/>
  <c r="E44" i="5" a="1"/>
  <c r="E44" i="5" s="1"/>
  <c r="G44" i="5" a="1"/>
  <c r="G44" i="5" s="1"/>
  <c r="H44" i="5"/>
  <c r="C45" i="5" a="1"/>
  <c r="C45" i="5" s="1"/>
  <c r="M43" i="5" l="1" a="1"/>
  <c r="M43" i="5" s="1"/>
  <c r="N43" i="5" a="1"/>
  <c r="N43" i="5" s="1"/>
  <c r="O43" i="5"/>
  <c r="P43" i="5"/>
  <c r="Q43" i="5"/>
  <c r="V43" i="5"/>
  <c r="W43" i="5"/>
  <c r="X43" i="5"/>
  <c r="R43" i="5"/>
  <c r="S43" i="5"/>
  <c r="U43" i="5"/>
  <c r="T43" i="5"/>
  <c r="D44" i="5"/>
  <c r="I44" i="5" s="1" a="1"/>
  <c r="I44" i="5" s="1"/>
  <c r="L44" i="5" a="1"/>
  <c r="L44" i="5" s="1"/>
  <c r="F44" i="5"/>
  <c r="K44" i="5" a="1"/>
  <c r="K44" i="5" s="1"/>
  <c r="Y44" i="5"/>
  <c r="AA44" i="5"/>
  <c r="AB44" i="5"/>
  <c r="Z44" i="5"/>
  <c r="AC44" i="5"/>
  <c r="AD44" i="5"/>
  <c r="J45" i="5" a="1"/>
  <c r="J45" i="5" s="1"/>
  <c r="E45" i="5" a="1"/>
  <c r="E45" i="5" s="1"/>
  <c r="G45" i="5" a="1"/>
  <c r="G45" i="5" s="1"/>
  <c r="H45" i="5"/>
  <c r="C46" i="5" a="1"/>
  <c r="C46" i="5" s="1"/>
  <c r="P44" i="5" l="1"/>
  <c r="Q44" i="5"/>
  <c r="U44" i="5"/>
  <c r="R44" i="5"/>
  <c r="S44" i="5"/>
  <c r="M44" i="5" a="1"/>
  <c r="M44" i="5" s="1"/>
  <c r="N44" i="5" a="1"/>
  <c r="N44" i="5" s="1"/>
  <c r="O44" i="5"/>
  <c r="T44" i="5"/>
  <c r="V44" i="5"/>
  <c r="W44" i="5"/>
  <c r="X44" i="5"/>
  <c r="F45" i="5"/>
  <c r="D45" i="5"/>
  <c r="I45" i="5" s="1" a="1"/>
  <c r="I45" i="5" s="1"/>
  <c r="L45" i="5" a="1"/>
  <c r="L45" i="5" s="1"/>
  <c r="K45" i="5" a="1"/>
  <c r="K45" i="5" s="1"/>
  <c r="Y45" i="5"/>
  <c r="Z45" i="5"/>
  <c r="AA45" i="5"/>
  <c r="AB45" i="5"/>
  <c r="AC45" i="5"/>
  <c r="AD45" i="5"/>
  <c r="J46" i="5" a="1"/>
  <c r="J46" i="5" s="1"/>
  <c r="E46" i="5" a="1"/>
  <c r="E46" i="5" s="1"/>
  <c r="G46" i="5" a="1"/>
  <c r="G46" i="5" s="1"/>
  <c r="H46" i="5"/>
  <c r="C47" i="5" a="1"/>
  <c r="C47" i="5" s="1"/>
  <c r="M45" i="5" l="1" a="1"/>
  <c r="M45" i="5" s="1"/>
  <c r="N45" i="5" a="1"/>
  <c r="N45" i="5" s="1"/>
  <c r="O45" i="5"/>
  <c r="V45" i="5"/>
  <c r="W45" i="5"/>
  <c r="X45" i="5"/>
  <c r="R45" i="5"/>
  <c r="S45" i="5"/>
  <c r="U45" i="5"/>
  <c r="P45" i="5"/>
  <c r="Q45" i="5"/>
  <c r="T45" i="5"/>
  <c r="D46" i="5"/>
  <c r="I46" i="5" s="1" a="1"/>
  <c r="I46" i="5" s="1"/>
  <c r="K46" i="5" a="1"/>
  <c r="K46" i="5" s="1"/>
  <c r="L46" i="5" a="1"/>
  <c r="L46" i="5" s="1"/>
  <c r="F46" i="5"/>
  <c r="Y46" i="5"/>
  <c r="Z46" i="5"/>
  <c r="AA46" i="5"/>
  <c r="AB46" i="5"/>
  <c r="AC46" i="5"/>
  <c r="AD46" i="5"/>
  <c r="J47" i="5" a="1"/>
  <c r="J47" i="5" s="1"/>
  <c r="N18" i="5" a="1"/>
  <c r="N18" i="5" s="1"/>
  <c r="N17" i="5" a="1"/>
  <c r="N17" i="5" s="1"/>
  <c r="E47" i="5" a="1"/>
  <c r="E47" i="5" s="1"/>
  <c r="G47" i="5" a="1"/>
  <c r="G47" i="5" s="1"/>
  <c r="H47" i="5"/>
  <c r="S46" i="5" l="1"/>
  <c r="T46" i="5"/>
  <c r="M46" i="5" a="1"/>
  <c r="M46" i="5" s="1"/>
  <c r="N46" i="5" a="1"/>
  <c r="N46" i="5" s="1"/>
  <c r="O46" i="5"/>
  <c r="R46" i="5"/>
  <c r="V46" i="5"/>
  <c r="W46" i="5"/>
  <c r="X46" i="5"/>
  <c r="P46" i="5"/>
  <c r="Q46" i="5"/>
  <c r="U46" i="5"/>
  <c r="Q18" i="5"/>
  <c r="R18" i="5" s="1"/>
  <c r="T18" i="5"/>
  <c r="O18" i="5"/>
  <c r="P18" i="5" s="1"/>
  <c r="S18" i="5" s="1"/>
  <c r="U18" i="5" s="1"/>
  <c r="O17" i="5"/>
  <c r="P17" i="5" s="1"/>
  <c r="S17" i="5" s="1"/>
  <c r="Q17" i="5"/>
  <c r="R17" i="5" s="1"/>
  <c r="T17" i="5"/>
  <c r="F47" i="5"/>
  <c r="D47" i="5"/>
  <c r="I47" i="5" s="1" a="1"/>
  <c r="I47" i="5" s="1"/>
  <c r="L47" i="5" a="1"/>
  <c r="L47" i="5" s="1"/>
  <c r="K47" i="5" a="1"/>
  <c r="K47" i="5" s="1"/>
  <c r="Y47" i="5"/>
  <c r="Z47" i="5"/>
  <c r="AA47" i="5"/>
  <c r="AC47" i="5"/>
  <c r="AD47" i="5"/>
  <c r="AB47" i="5"/>
  <c r="U25" i="5" l="1"/>
  <c r="U22" i="5"/>
  <c r="U20" i="5"/>
  <c r="U21" i="5"/>
  <c r="U24" i="5"/>
  <c r="U23" i="5"/>
  <c r="U19" i="5"/>
  <c r="U17" i="5"/>
  <c r="M47" i="5" a="1"/>
  <c r="M47" i="5" s="1"/>
  <c r="N47" i="5" a="1"/>
  <c r="N47" i="5" s="1"/>
  <c r="O47" i="5"/>
  <c r="Q47" i="5"/>
  <c r="S47" i="5"/>
  <c r="T47" i="5"/>
  <c r="V47" i="5"/>
  <c r="W47" i="5"/>
  <c r="X47" i="5"/>
  <c r="R47" i="5"/>
  <c r="U47" i="5"/>
  <c r="P47" i="5"/>
  <c r="W18" i="5" l="1"/>
  <c r="X18" i="5" s="1"/>
  <c r="W17" i="5"/>
  <c r="X17" i="5" s="1"/>
  <c r="W25" i="5"/>
  <c r="X25" i="5" s="1"/>
  <c r="W22" i="5"/>
  <c r="X22" i="5" s="1"/>
  <c r="W20" i="5"/>
  <c r="X20" i="5" s="1"/>
  <c r="W21" i="5"/>
  <c r="X21" i="5" s="1"/>
  <c r="W24" i="5"/>
  <c r="X24" i="5" s="1"/>
  <c r="W23" i="5"/>
  <c r="X23" i="5" s="1"/>
  <c r="W19" i="5"/>
  <c r="X19" i="5" s="1"/>
  <c r="Y10" i="5" l="1"/>
  <c r="Z10" i="5"/>
  <c r="AA10" i="5"/>
  <c r="Y11" i="5"/>
  <c r="AA11" i="5"/>
  <c r="Z11" i="5"/>
  <c r="Y27" i="5"/>
  <c r="Z27" i="5"/>
  <c r="AA27" i="5"/>
  <c r="Z28" i="5"/>
  <c r="AA28" i="5"/>
  <c r="Y35" i="5"/>
  <c r="Z35" i="5"/>
  <c r="AA35" i="5"/>
  <c r="Y36" i="5"/>
  <c r="AA36" i="5"/>
  <c r="Z36" i="5"/>
  <c r="AB36" i="5" s="1"/>
  <c r="Y37" i="5"/>
  <c r="AA37" i="5"/>
  <c r="Z37" i="5"/>
  <c r="AB37" i="5" s="1"/>
  <c r="N37" i="4" a="1"/>
  <c r="N37" i="4" s="1"/>
  <c r="M37" i="4" s="1" a="1"/>
  <c r="M37" i="4" s="1"/>
  <c r="N35" i="4" a="1"/>
  <c r="N35" i="4" s="1"/>
  <c r="M35" i="4" s="1" a="1"/>
  <c r="M35" i="4" s="1"/>
  <c r="N38" i="4" a="1"/>
  <c r="N38" i="4" s="1"/>
  <c r="M38" i="4" s="1" a="1"/>
  <c r="M38" i="4" s="1"/>
  <c r="N39" i="4" a="1"/>
  <c r="N39" i="4" s="1"/>
  <c r="M39" i="4" s="1" a="1"/>
  <c r="M39" i="4" s="1"/>
  <c r="N36" i="4" a="1"/>
  <c r="N36" i="4" s="1"/>
  <c r="M36" i="4" s="1" a="1"/>
  <c r="M36" i="4" s="1"/>
  <c r="N41" i="4" a="1"/>
  <c r="N41" i="4" s="1"/>
  <c r="J41" i="4" a="1"/>
  <c r="J41" i="4" s="1"/>
  <c r="J36" i="4" a="1"/>
  <c r="J36" i="4" s="1"/>
  <c r="J37" i="4" a="1"/>
  <c r="J37" i="4" s="1"/>
  <c r="J39" i="4" a="1"/>
  <c r="J39" i="4" s="1"/>
  <c r="J40" i="4" a="1"/>
  <c r="J40" i="4" s="1"/>
  <c r="J38" i="4" a="1"/>
  <c r="J38" i="4" s="1"/>
  <c r="J35" i="4" a="1"/>
  <c r="J35" i="4" s="1"/>
  <c r="AI16" i="5"/>
  <c r="AI15" i="5"/>
  <c r="AJ15" i="5"/>
  <c r="AJ17" i="5"/>
  <c r="AJ16" i="5"/>
  <c r="Y34" i="5"/>
  <c r="Z34" i="5"/>
  <c r="AA34" i="5"/>
  <c r="Y33" i="5"/>
  <c r="AA33" i="5"/>
  <c r="Z33" i="5"/>
  <c r="Y32" i="5"/>
  <c r="AA32" i="5"/>
  <c r="Z32" i="5"/>
  <c r="AA31" i="5"/>
  <c r="Z31" i="5"/>
  <c r="Y31" i="5"/>
  <c r="AA30" i="5"/>
  <c r="Y30" i="5"/>
  <c r="Z30" i="5"/>
  <c r="Y29" i="5"/>
  <c r="AA29" i="5"/>
  <c r="Z29" i="5"/>
  <c r="Y28" i="5"/>
  <c r="Y26" i="5"/>
  <c r="Z26" i="5"/>
  <c r="AA26" i="5"/>
  <c r="AA25" i="5"/>
  <c r="Z25" i="5"/>
  <c r="Y25" i="5"/>
  <c r="AA24" i="5"/>
  <c r="Y24" i="5"/>
  <c r="Z24" i="5"/>
  <c r="Y23" i="5"/>
  <c r="AA23" i="5"/>
  <c r="Z23" i="5"/>
  <c r="AA22" i="5"/>
  <c r="Z22" i="5"/>
  <c r="Y22" i="5"/>
  <c r="AA21" i="5"/>
  <c r="Z21" i="5"/>
  <c r="Y21" i="5"/>
  <c r="AA20" i="5"/>
  <c r="Y20" i="5"/>
  <c r="Z20" i="5"/>
  <c r="Z17" i="5"/>
  <c r="Z18" i="5"/>
  <c r="AA18" i="5"/>
  <c r="Y18" i="5"/>
  <c r="Y17" i="5"/>
  <c r="AA17" i="5"/>
  <c r="AA19" i="5"/>
  <c r="Y19" i="5"/>
  <c r="Z19" i="5"/>
  <c r="E27" i="4" l="1"/>
  <c r="E25" i="4"/>
  <c r="E26" i="4" s="1"/>
  <c r="AQ31" i="5"/>
  <c r="AJ31" i="5"/>
  <c r="AB11" i="5"/>
  <c r="AB28" i="5"/>
  <c r="AC10" i="5"/>
  <c r="AD10" i="5"/>
  <c r="AD11" i="5"/>
  <c r="AC11" i="5"/>
  <c r="AD27" i="5"/>
  <c r="AC27" i="5"/>
  <c r="AD28" i="5"/>
  <c r="AC28" i="5"/>
  <c r="AD35" i="5"/>
  <c r="AC35" i="5"/>
  <c r="AD36" i="5"/>
  <c r="AC36" i="5"/>
  <c r="AD37" i="5"/>
  <c r="AC37" i="5"/>
  <c r="AB10" i="5"/>
  <c r="AB35" i="5"/>
  <c r="AB27" i="5"/>
  <c r="AB19" i="5"/>
  <c r="AB24" i="5"/>
  <c r="AJ29" i="5"/>
  <c r="I39" i="4" a="1"/>
  <c r="I39" i="4" s="1"/>
  <c r="AI29" i="5" s="1"/>
  <c r="AJ28" i="5"/>
  <c r="I38" i="4" a="1"/>
  <c r="I38" i="4" s="1"/>
  <c r="AI28" i="5" s="1"/>
  <c r="AJ26" i="5"/>
  <c r="I36" i="4" a="1"/>
  <c r="I36" i="4" s="1"/>
  <c r="AI26" i="5" s="1"/>
  <c r="AJ27" i="5"/>
  <c r="I37" i="4" a="1"/>
  <c r="I37" i="4" s="1"/>
  <c r="AI27" i="5" s="1"/>
  <c r="AP26" i="5"/>
  <c r="AQ26" i="5"/>
  <c r="AP29" i="5"/>
  <c r="AQ29" i="5"/>
  <c r="AQ28" i="5"/>
  <c r="AP28" i="5"/>
  <c r="AP27" i="5"/>
  <c r="AQ27" i="5"/>
  <c r="AQ25" i="5"/>
  <c r="AP25" i="5"/>
  <c r="I35" i="4" a="1"/>
  <c r="I35" i="4" s="1"/>
  <c r="AI25" i="5" s="1"/>
  <c r="AJ25" i="5"/>
  <c r="AJ30" i="5"/>
  <c r="AB32" i="5"/>
  <c r="AB31" i="5"/>
  <c r="AB20" i="5"/>
  <c r="AB33" i="5"/>
  <c r="AB22" i="5"/>
  <c r="AB29" i="5"/>
  <c r="AB23" i="5"/>
  <c r="AB30" i="5"/>
  <c r="AB25" i="5"/>
  <c r="AB21" i="5"/>
  <c r="AB17" i="5"/>
  <c r="AB18" i="5"/>
  <c r="AC34" i="5"/>
  <c r="AD34" i="5"/>
  <c r="AD33" i="5"/>
  <c r="AC33" i="5"/>
  <c r="AC32" i="5"/>
  <c r="AD32" i="5"/>
  <c r="AD31" i="5"/>
  <c r="AC31" i="5"/>
  <c r="AD30" i="5"/>
  <c r="AC30" i="5"/>
  <c r="AD29" i="5"/>
  <c r="AC29" i="5"/>
  <c r="AC26" i="5"/>
  <c r="AD26" i="5"/>
  <c r="AD25" i="5"/>
  <c r="AC25" i="5"/>
  <c r="AC24" i="5"/>
  <c r="AD24" i="5"/>
  <c r="AC23" i="5"/>
  <c r="AD23" i="5"/>
  <c r="AC22" i="5"/>
  <c r="AD22" i="5"/>
  <c r="AD21" i="5"/>
  <c r="AC21" i="5"/>
  <c r="AD20" i="5"/>
  <c r="AC20" i="5"/>
  <c r="AD18" i="5"/>
  <c r="AC18" i="5"/>
  <c r="AD17" i="5"/>
  <c r="AC17" i="5"/>
  <c r="AC19" i="5"/>
  <c r="AD19" i="5"/>
  <c r="AB34" i="5"/>
  <c r="AB26" i="5"/>
  <c r="AQ30" i="5" l="1"/>
  <c r="AP3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<sst xmlns="http://schemas.openxmlformats.org/spreadsheetml/2006/main" count="277" uniqueCount="121">
  <si>
    <t>Settings</t>
  </si>
  <si>
    <t>General</t>
  </si>
  <si>
    <t>Starting Year:</t>
  </si>
  <si>
    <r>
      <rPr>
        <sz val="11"/>
        <color theme="1" tint="0.34998626667073579"/>
        <rFont val="Calibri"/>
        <family val="2"/>
        <scheme val="minor"/>
      </rPr>
      <t>set the starting year(yyyy) at the beginning and do not change it again</t>
    </r>
    <r>
      <rPr>
        <sz val="11"/>
        <color theme="1"/>
        <rFont val="Calibri"/>
        <family val="2"/>
        <scheme val="minor"/>
      </rPr>
      <t>.</t>
    </r>
  </si>
  <si>
    <t>Budget Planning</t>
  </si>
  <si>
    <t>Define starting year in settings -&gt;</t>
  </si>
  <si>
    <t>Income</t>
  </si>
  <si>
    <t>Enter Income Category</t>
  </si>
  <si>
    <t>Total</t>
  </si>
  <si>
    <t>Employment(Net)</t>
  </si>
  <si>
    <t>Side Hustles(net)</t>
  </si>
  <si>
    <t>Dividends</t>
  </si>
  <si>
    <t>Expenses</t>
  </si>
  <si>
    <t>Housing</t>
  </si>
  <si>
    <t>Utilities</t>
  </si>
  <si>
    <t>Groceries</t>
  </si>
  <si>
    <t>Savings</t>
  </si>
  <si>
    <t>Emergency Fund</t>
  </si>
  <si>
    <t>Retirement Account</t>
  </si>
  <si>
    <t>Stock Portfolio</t>
  </si>
  <si>
    <t>Enter savings Category</t>
  </si>
  <si>
    <t>Entersavings Category</t>
  </si>
  <si>
    <t>To be allocated:</t>
  </si>
  <si>
    <t>Transport</t>
  </si>
  <si>
    <t>Insurance</t>
  </si>
  <si>
    <t>Clothing</t>
  </si>
  <si>
    <t>Body care</t>
  </si>
  <si>
    <t>Media</t>
  </si>
  <si>
    <t>Fun&amp;Vacation</t>
  </si>
  <si>
    <t>Sinking Fund</t>
  </si>
  <si>
    <t>Sinking fund rest</t>
  </si>
  <si>
    <t>Budget Tracking</t>
  </si>
  <si>
    <t>Date</t>
  </si>
  <si>
    <t>Type</t>
  </si>
  <si>
    <t>Category</t>
  </si>
  <si>
    <t>Amount</t>
  </si>
  <si>
    <t>Details</t>
  </si>
  <si>
    <t>Balance</t>
  </si>
  <si>
    <t>Effective Date</t>
  </si>
  <si>
    <t>Budget Tracking &amp; Dashboard</t>
  </si>
  <si>
    <t>Late monthly income</t>
  </si>
  <si>
    <t>Shift Late Income</t>
  </si>
  <si>
    <t>Active</t>
  </si>
  <si>
    <t>starting on day x in month:</t>
  </si>
  <si>
    <t>Activate this option to treate late income received on or after a certain day of a month as income for a next month.This specially recommended in case you receive your monthly paycheck at the end of the month and prefer to consider this income as the disposable income for next month.</t>
  </si>
  <si>
    <t>Calculations</t>
  </si>
  <si>
    <t>worksheet: Budget Tracking</t>
  </si>
  <si>
    <t>Today:</t>
  </si>
  <si>
    <t>Last Record:</t>
  </si>
  <si>
    <t>Date of a last record:</t>
  </si>
  <si>
    <t>#Records :</t>
  </si>
  <si>
    <t>#Records this year :</t>
  </si>
  <si>
    <t>Total tracking balance:</t>
  </si>
  <si>
    <t>Balance Analysis Text:</t>
  </si>
  <si>
    <t>Budget Dashboard</t>
  </si>
  <si>
    <t>Year</t>
  </si>
  <si>
    <t>Period</t>
  </si>
  <si>
    <t>Dropdown Data</t>
  </si>
  <si>
    <t>Year Dropdown</t>
  </si>
  <si>
    <t>Current Year</t>
  </si>
  <si>
    <t>Period Dropdown</t>
  </si>
  <si>
    <t>Total Year</t>
  </si>
  <si>
    <t>Current Month</t>
  </si>
  <si>
    <t>Selected Year:</t>
  </si>
  <si>
    <t>Selected Period:</t>
  </si>
  <si>
    <t>worksheet: Budget Dashboard</t>
  </si>
  <si>
    <t>Selected Period(Display):</t>
  </si>
  <si>
    <t>row_id</t>
  </si>
  <si>
    <t>header_row_id</t>
  </si>
  <si>
    <t>is_header</t>
  </si>
  <si>
    <t>is_cat</t>
  </si>
  <si>
    <t>is_total</t>
  </si>
  <si>
    <t>is_empty</t>
  </si>
  <si>
    <t>type</t>
  </si>
  <si>
    <t>item</t>
  </si>
  <si>
    <t>tracked</t>
  </si>
  <si>
    <t>budget</t>
  </si>
  <si>
    <t xml:space="preserve">Expenses </t>
  </si>
  <si>
    <t>sort_min_row</t>
  </si>
  <si>
    <t>sort_max_row</t>
  </si>
  <si>
    <t>tracked_range</t>
  </si>
  <si>
    <t>tracked_rank</t>
  </si>
  <si>
    <t>budget_range</t>
  </si>
  <si>
    <t>budget_rank</t>
  </si>
  <si>
    <t>comb_rank</t>
  </si>
  <si>
    <t>comb_rank_range</t>
  </si>
  <si>
    <t>comb_rank_norm</t>
  </si>
  <si>
    <t>comb_rank_norm_run_range</t>
  </si>
  <si>
    <t>comb_rank_unique</t>
  </si>
  <si>
    <t>sorted_row_id[Lookup]</t>
  </si>
  <si>
    <r>
      <rPr>
        <b/>
        <sz val="11"/>
        <color rgb="FF0070C0"/>
        <rFont val="Calibri"/>
        <family val="2"/>
        <scheme val="minor"/>
      </rPr>
      <t>Chart Calculations</t>
    </r>
    <r>
      <rPr>
        <sz val="11"/>
        <color rgb="FF0070C0"/>
        <rFont val="Calibri"/>
        <family val="2"/>
        <scheme val="minor"/>
      </rPr>
      <t>: Category Distribution chart</t>
    </r>
  </si>
  <si>
    <r>
      <rPr>
        <b/>
        <sz val="11"/>
        <color rgb="FF0070C0"/>
        <rFont val="Calibri"/>
        <family val="2"/>
        <scheme val="minor"/>
      </rPr>
      <t xml:space="preserve">Chart Calculations: </t>
    </r>
    <r>
      <rPr>
        <sz val="11"/>
        <color rgb="FF0070C0"/>
        <rFont val="Calibri"/>
        <family val="2"/>
        <scheme val="minor"/>
      </rPr>
      <t>Tracked (vs. Budget)</t>
    </r>
  </si>
  <si>
    <t>Month</t>
  </si>
  <si>
    <t>Month Num.</t>
  </si>
  <si>
    <t>In Focus</t>
  </si>
  <si>
    <t>Show Type</t>
  </si>
  <si>
    <t>Show Rem. Budget</t>
  </si>
  <si>
    <t>Delta</t>
  </si>
  <si>
    <t xml:space="preserve">Tracked </t>
  </si>
  <si>
    <t>Budget</t>
  </si>
  <si>
    <t>Period In Focus</t>
  </si>
  <si>
    <t>In Budget</t>
  </si>
  <si>
    <t>Remaining</t>
  </si>
  <si>
    <t>Excess</t>
  </si>
  <si>
    <t>Show Income:</t>
  </si>
  <si>
    <t>Show Expenses:</t>
  </si>
  <si>
    <t>Show Savings:</t>
  </si>
  <si>
    <t>Show Rem. Budget:</t>
  </si>
  <si>
    <t>Select Year-&gt;</t>
  </si>
  <si>
    <t>Select  period-&gt;</t>
  </si>
  <si>
    <t>Days in Period:</t>
  </si>
  <si>
    <t>Days Passed in period:</t>
  </si>
  <si>
    <t>Days passed in Period %:</t>
  </si>
  <si>
    <t>Period Tracking Balance:</t>
  </si>
  <si>
    <t>Period Savings Rate:</t>
  </si>
  <si>
    <t>KPI Calculation in Dashboard</t>
  </si>
  <si>
    <t>Savings rate as % of income:</t>
  </si>
  <si>
    <t>% allocated to savings</t>
  </si>
  <si>
    <t>Choose how you want the savings rate(SR) to be calculated in the dashboard KPI tiles:</t>
  </si>
  <si>
    <t>1.)Active Option(% allocated to savings):          SR=Savings/Income</t>
  </si>
  <si>
    <t>2.)Passive Option(% allocated to expenses):      SR=(Income-Expenses)/Income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</si>
</sst>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mm"/>
    <numFmt numFmtId="165" formatCode="_ * #,##0_ ;_ * \-#,##0_ ;_ * &quot;-&quot;??_ ;_ @_ "/>
    <numFmt numFmtId="166" formatCode="d/mmm/yy"/>
    <numFmt numFmtId="167" formatCode="mmmm"/>
    <numFmt numFmtId="168" formatCode="0.0%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 tint="-0.34998626667073579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2" tint="-0.249977111117893"/>
      <name val="Calibri"/>
      <family val="2"/>
      <scheme val="minor"/>
    </font>
    <font>
      <b/>
      <i/>
      <sz val="9"/>
      <color theme="2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Segoe UI"/>
      <family val="2"/>
    </font>
    <font>
      <i/>
      <sz val="10"/>
      <color theme="1" tint="0.34998626667073579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auto="1"/>
      </left>
      <right/>
      <top style="thin">
        <color theme="0" tint="-0.34998626667073579"/>
      </top>
      <bottom/>
      <diagonal/>
    </border>
    <border>
      <left/>
      <right style="thin">
        <color auto="1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5">
    <xf numFmtId="0" fontId="0" fillId="0" borderId="0" xfId="0"/>
    <xf numFmtId="0" fontId="0" fillId="2" borderId="0" xfId="0" applyFill="1"/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7" fillId="0" borderId="6" xfId="0" applyFont="1" applyBorder="1"/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9" fillId="0" borderId="0" xfId="0" applyFont="1"/>
    <xf numFmtId="165" fontId="10" fillId="0" borderId="6" xfId="1" applyNumberFormat="1" applyFont="1" applyBorder="1"/>
    <xf numFmtId="165" fontId="12" fillId="0" borderId="6" xfId="1" applyNumberFormat="1" applyFont="1" applyBorder="1"/>
    <xf numFmtId="165" fontId="13" fillId="0" borderId="6" xfId="1" applyNumberFormat="1" applyFont="1" applyBorder="1"/>
    <xf numFmtId="0" fontId="9" fillId="0" borderId="6" xfId="0" applyFont="1" applyBorder="1"/>
    <xf numFmtId="0" fontId="9" fillId="0" borderId="7" xfId="0" applyFont="1" applyBorder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4" fillId="0" borderId="0" xfId="0" applyFont="1" applyAlignment="1">
      <alignment horizontal="left" indent="13"/>
    </xf>
    <xf numFmtId="165" fontId="11" fillId="0" borderId="6" xfId="0" applyNumberFormat="1" applyFont="1" applyBorder="1"/>
    <xf numFmtId="0" fontId="15" fillId="0" borderId="6" xfId="0" applyFont="1" applyBorder="1"/>
    <xf numFmtId="0" fontId="16" fillId="6" borderId="8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left" indent="1"/>
    </xf>
    <xf numFmtId="165" fontId="18" fillId="0" borderId="0" xfId="1" applyNumberFormat="1" applyFont="1" applyAlignment="1">
      <alignment horizontal="left" indent="1"/>
    </xf>
    <xf numFmtId="0" fontId="19" fillId="0" borderId="0" xfId="0" applyFont="1" applyAlignment="1">
      <alignment horizontal="left" indent="1"/>
    </xf>
    <xf numFmtId="165" fontId="21" fillId="0" borderId="0" xfId="1" applyNumberFormat="1" applyFont="1" applyAlignment="1">
      <alignment horizontal="left" indent="1"/>
    </xf>
    <xf numFmtId="0" fontId="22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66" fontId="24" fillId="0" borderId="0" xfId="0" applyNumberFormat="1" applyFont="1" applyAlignment="1">
      <alignment horizontal="right" indent="1"/>
    </xf>
    <xf numFmtId="0" fontId="25" fillId="9" borderId="8" xfId="0" applyFont="1" applyFill="1" applyBorder="1"/>
    <xf numFmtId="0" fontId="25" fillId="9" borderId="9" xfId="0" applyFont="1" applyFill="1" applyBorder="1"/>
    <xf numFmtId="0" fontId="25" fillId="9" borderId="10" xfId="0" applyFont="1" applyFill="1" applyBorder="1"/>
    <xf numFmtId="0" fontId="25" fillId="9" borderId="11" xfId="0" applyFont="1" applyFill="1" applyBorder="1"/>
    <xf numFmtId="0" fontId="26" fillId="9" borderId="0" xfId="0" applyFont="1" applyFill="1"/>
    <xf numFmtId="0" fontId="25" fillId="9" borderId="0" xfId="0" applyFont="1" applyFill="1"/>
    <xf numFmtId="0" fontId="25" fillId="9" borderId="12" xfId="0" applyFont="1" applyFill="1" applyBorder="1"/>
    <xf numFmtId="0" fontId="25" fillId="9" borderId="13" xfId="0" applyFont="1" applyFill="1" applyBorder="1"/>
    <xf numFmtId="0" fontId="25" fillId="9" borderId="14" xfId="0" applyFont="1" applyFill="1" applyBorder="1"/>
    <xf numFmtId="0" fontId="25" fillId="9" borderId="15" xfId="0" applyFont="1" applyFill="1" applyBorder="1"/>
    <xf numFmtId="0" fontId="3" fillId="10" borderId="21" xfId="0" applyFont="1" applyFill="1" applyBorder="1"/>
    <xf numFmtId="0" fontId="3" fillId="10" borderId="23" xfId="0" applyFont="1" applyFill="1" applyBorder="1"/>
    <xf numFmtId="0" fontId="7" fillId="10" borderId="23" xfId="0" applyFont="1" applyFill="1" applyBorder="1"/>
    <xf numFmtId="0" fontId="7" fillId="10" borderId="25" xfId="0" applyFont="1" applyFill="1" applyBorder="1"/>
    <xf numFmtId="166" fontId="3" fillId="11" borderId="22" xfId="0" applyNumberFormat="1" applyFont="1" applyFill="1" applyBorder="1"/>
    <xf numFmtId="15" fontId="3" fillId="11" borderId="24" xfId="0" applyNumberFormat="1" applyFont="1" applyFill="1" applyBorder="1"/>
    <xf numFmtId="0" fontId="3" fillId="11" borderId="24" xfId="0" applyFont="1" applyFill="1" applyBorder="1"/>
    <xf numFmtId="165" fontId="3" fillId="11" borderId="24" xfId="1" applyNumberFormat="1" applyFont="1" applyFill="1" applyBorder="1"/>
    <xf numFmtId="0" fontId="3" fillId="11" borderId="26" xfId="0" applyFont="1" applyFill="1" applyBorder="1"/>
    <xf numFmtId="166" fontId="18" fillId="0" borderId="0" xfId="0" applyNumberFormat="1" applyFont="1" applyAlignment="1">
      <alignment horizontal="center"/>
    </xf>
    <xf numFmtId="0" fontId="0" fillId="12" borderId="0" xfId="0" applyFill="1"/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left" vertical="center" indent="4"/>
    </xf>
    <xf numFmtId="0" fontId="31" fillId="0" borderId="0" xfId="0" applyFont="1" applyAlignment="1">
      <alignment horizontal="left" vertical="center" indent="4"/>
    </xf>
    <xf numFmtId="0" fontId="33" fillId="7" borderId="0" xfId="0" applyFont="1" applyFill="1"/>
    <xf numFmtId="0" fontId="30" fillId="7" borderId="0" xfId="0" applyFont="1" applyFill="1"/>
    <xf numFmtId="0" fontId="15" fillId="12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167" fontId="18" fillId="0" borderId="31" xfId="0" applyNumberFormat="1" applyFont="1" applyBorder="1" applyAlignment="1">
      <alignment horizontal="center" vertical="center"/>
    </xf>
    <xf numFmtId="167" fontId="0" fillId="0" borderId="31" xfId="0" applyNumberFormat="1" applyBorder="1" applyAlignment="1">
      <alignment horizontal="center" vertical="center"/>
    </xf>
    <xf numFmtId="167" fontId="0" fillId="0" borderId="30" xfId="0" applyNumberFormat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3" fillId="14" borderId="32" xfId="0" applyFont="1" applyFill="1" applyBorder="1" applyAlignment="1">
      <alignment horizontal="center" vertical="center"/>
    </xf>
    <xf numFmtId="0" fontId="3" fillId="14" borderId="33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7" fillId="15" borderId="6" xfId="0" applyFont="1" applyFill="1" applyBorder="1"/>
    <xf numFmtId="0" fontId="0" fillId="15" borderId="0" xfId="0" applyFill="1"/>
    <xf numFmtId="164" fontId="2" fillId="15" borderId="0" xfId="0" applyNumberFormat="1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165" fontId="10" fillId="15" borderId="6" xfId="1" applyNumberFormat="1" applyFont="1" applyFill="1" applyBorder="1"/>
    <xf numFmtId="165" fontId="0" fillId="0" borderId="0" xfId="0" applyNumberFormat="1"/>
    <xf numFmtId="165" fontId="0" fillId="0" borderId="0" xfId="1" applyNumberFormat="1" applyFont="1"/>
    <xf numFmtId="165" fontId="0" fillId="0" borderId="2" xfId="1" applyNumberFormat="1" applyFont="1" applyBorder="1"/>
    <xf numFmtId="0" fontId="11" fillId="13" borderId="35" xfId="0" applyFont="1" applyFill="1" applyBorder="1" applyAlignment="1">
      <alignment horizontal="center" vertical="center"/>
    </xf>
    <xf numFmtId="0" fontId="11" fillId="13" borderId="36" xfId="0" applyFont="1" applyFill="1" applyBorder="1" applyAlignment="1">
      <alignment horizontal="center" vertical="center"/>
    </xf>
    <xf numFmtId="0" fontId="11" fillId="13" borderId="27" xfId="0" applyFont="1" applyFill="1" applyBorder="1" applyAlignment="1">
      <alignment horizontal="center" vertical="center"/>
    </xf>
    <xf numFmtId="0" fontId="0" fillId="0" borderId="28" xfId="0" applyBorder="1"/>
    <xf numFmtId="0" fontId="11" fillId="13" borderId="7" xfId="0" applyFont="1" applyFill="1" applyBorder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6" fillId="0" borderId="35" xfId="0" applyFont="1" applyBorder="1"/>
    <xf numFmtId="0" fontId="16" fillId="0" borderId="7" xfId="0" applyFont="1" applyBorder="1"/>
    <xf numFmtId="0" fontId="20" fillId="7" borderId="37" xfId="0" applyFont="1" applyFill="1" applyBorder="1"/>
    <xf numFmtId="0" fontId="23" fillId="7" borderId="38" xfId="0" applyFont="1" applyFill="1" applyBorder="1"/>
    <xf numFmtId="166" fontId="18" fillId="0" borderId="1" xfId="0" applyNumberFormat="1" applyFont="1" applyBorder="1" applyAlignment="1">
      <alignment horizontal="center"/>
    </xf>
    <xf numFmtId="165" fontId="18" fillId="0" borderId="0" xfId="1" applyNumberFormat="1" applyFont="1" applyBorder="1" applyAlignment="1">
      <alignment horizontal="left" indent="1"/>
    </xf>
    <xf numFmtId="165" fontId="21" fillId="0" borderId="0" xfId="1" applyNumberFormat="1" applyFont="1" applyBorder="1" applyAlignment="1">
      <alignment horizontal="left" indent="1"/>
    </xf>
    <xf numFmtId="166" fontId="24" fillId="0" borderId="2" xfId="0" applyNumberFormat="1" applyFont="1" applyBorder="1" applyAlignment="1">
      <alignment horizontal="right" indent="1"/>
    </xf>
    <xf numFmtId="0" fontId="18" fillId="0" borderId="0" xfId="0" applyFont="1" applyAlignment="1">
      <alignment horizontal="left" indent="2"/>
    </xf>
    <xf numFmtId="165" fontId="18" fillId="0" borderId="0" xfId="1" applyNumberFormat="1" applyFont="1" applyBorder="1" applyAlignment="1">
      <alignment horizontal="left" indent="2"/>
    </xf>
    <xf numFmtId="0" fontId="19" fillId="0" borderId="0" xfId="0" applyFont="1" applyAlignment="1">
      <alignment horizontal="left" indent="2"/>
    </xf>
    <xf numFmtId="166" fontId="18" fillId="0" borderId="35" xfId="0" applyNumberFormat="1" applyFont="1" applyBorder="1" applyAlignment="1">
      <alignment horizontal="center"/>
    </xf>
    <xf numFmtId="0" fontId="18" fillId="0" borderId="7" xfId="0" applyFont="1" applyBorder="1" applyAlignment="1">
      <alignment horizontal="left" indent="1"/>
    </xf>
    <xf numFmtId="165" fontId="18" fillId="0" borderId="7" xfId="1" applyNumberFormat="1" applyFont="1" applyBorder="1" applyAlignment="1">
      <alignment horizontal="left" indent="1"/>
    </xf>
    <xf numFmtId="0" fontId="19" fillId="0" borderId="7" xfId="0" applyFont="1" applyBorder="1" applyAlignment="1">
      <alignment horizontal="left" indent="1"/>
    </xf>
    <xf numFmtId="165" fontId="21" fillId="0" borderId="7" xfId="1" applyNumberFormat="1" applyFont="1" applyBorder="1" applyAlignment="1">
      <alignment horizontal="left" indent="1"/>
    </xf>
    <xf numFmtId="166" fontId="24" fillId="0" borderId="36" xfId="0" applyNumberFormat="1" applyFont="1" applyBorder="1" applyAlignment="1">
      <alignment horizontal="right" indent="1"/>
    </xf>
    <xf numFmtId="0" fontId="0" fillId="0" borderId="40" xfId="0" applyBorder="1"/>
    <xf numFmtId="0" fontId="0" fillId="0" borderId="41" xfId="0" applyBorder="1"/>
    <xf numFmtId="0" fontId="34" fillId="0" borderId="39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18" fillId="0" borderId="0" xfId="1" applyNumberFormat="1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165" fontId="11" fillId="0" borderId="7" xfId="1" applyNumberFormat="1" applyFont="1" applyBorder="1" applyAlignment="1">
      <alignment horizontal="left" vertical="center" indent="1"/>
    </xf>
    <xf numFmtId="0" fontId="0" fillId="0" borderId="42" xfId="0" applyBorder="1" applyAlignment="1">
      <alignment horizontal="center"/>
    </xf>
    <xf numFmtId="165" fontId="0" fillId="0" borderId="42" xfId="1" applyNumberFormat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8" fillId="0" borderId="0" xfId="0" applyFont="1" applyAlignment="1">
      <alignment horizontal="left" vertical="center" inden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5" fillId="0" borderId="0" xfId="0" applyFont="1"/>
    <xf numFmtId="0" fontId="3" fillId="10" borderId="25" xfId="0" applyFont="1" applyFill="1" applyBorder="1"/>
    <xf numFmtId="0" fontId="3" fillId="17" borderId="22" xfId="0" applyFont="1" applyFill="1" applyBorder="1"/>
    <xf numFmtId="0" fontId="3" fillId="17" borderId="24" xfId="0" applyFont="1" applyFill="1" applyBorder="1" applyAlignment="1">
      <alignment horizontal="right"/>
    </xf>
    <xf numFmtId="0" fontId="3" fillId="17" borderId="24" xfId="0" applyFont="1" applyFill="1" applyBorder="1" applyAlignment="1">
      <alignment horizontal="center" vertical="center"/>
    </xf>
    <xf numFmtId="0" fontId="3" fillId="17" borderId="24" xfId="0" applyFont="1" applyFill="1" applyBorder="1"/>
    <xf numFmtId="9" fontId="3" fillId="17" borderId="24" xfId="0" applyNumberFormat="1" applyFont="1" applyFill="1" applyBorder="1"/>
    <xf numFmtId="165" fontId="3" fillId="17" borderId="24" xfId="0" applyNumberFormat="1" applyFont="1" applyFill="1" applyBorder="1"/>
    <xf numFmtId="168" fontId="3" fillId="17" borderId="26" xfId="0" applyNumberFormat="1" applyFont="1" applyFill="1" applyBorder="1"/>
    <xf numFmtId="0" fontId="38" fillId="0" borderId="0" xfId="0" applyFont="1" applyAlignment="1">
      <alignment horizontal="left" vertical="top"/>
    </xf>
    <xf numFmtId="0" fontId="17" fillId="2" borderId="0" xfId="0" applyFont="1" applyFill="1"/>
    <xf numFmtId="0" fontId="6" fillId="12" borderId="8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6" fillId="12" borderId="14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wrapText="1"/>
    </xf>
    <xf numFmtId="0" fontId="11" fillId="11" borderId="46" xfId="0" applyFont="1" applyFill="1" applyBorder="1" applyAlignment="1">
      <alignment horizontal="center" vertical="center" wrapText="1"/>
    </xf>
    <xf numFmtId="167" fontId="11" fillId="11" borderId="45" xfId="0" applyNumberFormat="1" applyFont="1" applyFill="1" applyBorder="1" applyAlignment="1">
      <alignment horizontal="center" vertical="center" wrapText="1"/>
    </xf>
    <xf numFmtId="167" fontId="11" fillId="11" borderId="4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 vertical="center" wrapText="1"/>
    </xf>
    <xf numFmtId="0" fontId="27" fillId="2" borderId="0" xfId="0" applyFont="1" applyFill="1" applyAlignment="1">
      <alignment horizontal="left" vertical="center" wrapText="1"/>
    </xf>
    <xf numFmtId="0" fontId="15" fillId="16" borderId="0" xfId="0" applyFont="1" applyFill="1" applyAlignment="1">
      <alignment horizontal="center" wrapText="1"/>
    </xf>
    <xf numFmtId="0" fontId="11" fillId="14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61"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color theme="0" tint="-0.499984740745262"/>
      </font>
      <numFmt numFmtId="169" formatCode="\-\&gt;d/mmm/yy"/>
    </dxf>
    <dxf>
      <font>
        <b/>
        <i val="0"/>
        <color rgb="FF00B050"/>
      </font>
      <numFmt numFmtId="170" formatCode="#,##0_ ;\-#,##0\ "/>
    </dxf>
    <dxf>
      <font>
        <color rgb="FFFF0000"/>
      </font>
    </dxf>
    <dxf>
      <font>
        <color theme="1"/>
      </font>
      <fill>
        <patternFill>
          <bgColor theme="9" tint="0.59996337778862885"/>
        </patternFill>
      </fill>
    </dxf>
    <dxf>
      <font>
        <color rgb="FFFF0000"/>
      </font>
    </dxf>
    <dxf>
      <font>
        <color theme="9" tint="-0.24994659260841701"/>
      </font>
    </dxf>
    <dxf>
      <font>
        <color theme="0" tint="-0.24994659260841701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strike val="0"/>
        <outline val="0"/>
        <shadow val="0"/>
        <u val="none"/>
        <vertAlign val="baseline"/>
        <sz val="10"/>
        <color theme="1" tint="4.9989318521683403E-2"/>
        <name val="Calibri"/>
        <family val="2"/>
        <scheme val="minor"/>
      </font>
      <numFmt numFmtId="166" formatCode="d/mmm/yy"/>
      <alignment horizontal="right" vertical="bottom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Calibri"/>
        <family val="2"/>
        <scheme val="minor"/>
      </font>
      <numFmt numFmtId="165" formatCode="_ * #,##0_ ;_ * \-#,##0_ ;_ * &quot;-&quot;??_ ;_ @_ "/>
      <alignment horizontal="left" vertical="bottom" textRotation="0" wrapText="0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4.9989318521683403E-2"/>
        <name val="Calibri"/>
        <family val="2"/>
        <scheme val="minor"/>
      </font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 * #,##0_ ;_ * \-#,##0_ ;_ * &quot;-&quot;??_ ;_ @_ "/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/mmm/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34998626667073579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34998626667073579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34998626667073579"/>
        <name val="Calibri"/>
        <family val="2"/>
        <scheme val="minor"/>
      </font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34998626667073579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34998626667073579"/>
        <name val="Calibri"/>
        <family val="2"/>
        <scheme val="minor"/>
      </font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34998626667073579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>
          <fgColor indexed="64"/>
          <bgColor theme="5" tint="-0.249977111117893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</dxfs>
  <tableStyles count="5" defaultTableStyle="TableStyleMedium2" defaultPivotStyle="PivotStyleLight16">
    <tableStyle name="Expense_table_style" pivot="0" count="1" xr9:uid="{2C42F23E-AFDC-4006-B0BD-8740E0E0FC29}">
      <tableStyleElement type="headerRow" dxfId="60"/>
    </tableStyle>
    <tableStyle name="Expenses_table_styles" pivot="0" count="1" xr9:uid="{8FC7CE49-455B-43BF-9FCE-A148610A6FF6}">
      <tableStyleElement type="headerRow" dxfId="59"/>
    </tableStyle>
    <tableStyle name="Income Table Style" pivot="0" count="2" xr9:uid="{B4289AC3-471F-4C75-A16D-CD595A3B1365}">
      <tableStyleElement type="wholeTable" dxfId="58"/>
      <tableStyleElement type="headerRow" dxfId="57"/>
    </tableStyle>
    <tableStyle name="savingstablestyle" pivot="0" count="1" xr9:uid="{E542B87B-B8B1-49E4-BE8F-4B734FD572FF}">
      <tableStyleElement type="headerRow" dxfId="56"/>
    </tableStyle>
    <tableStyle name="Tracking table style" pivot="0" count="3" xr9:uid="{BC2E10B0-9A51-4388-ADA9-F3D1E78D6C87}">
      <tableStyleElement type="wholeTable" dxfId="55"/>
      <tableStyleElement type="headerRow" dxfId="54"/>
      <tableStyleElement type="firstRowStripe" dxfId="53"/>
    </tableStyle>
  </tableStyles>
  <colors>
    <mruColors>
      <color rgb="FFA7A7A7"/>
      <color rgb="FFCDCDCD"/>
      <color rgb="FFDCDCDC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56-4B09-8703-AD59A4B720A6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56-4B09-8703-AD59A4B720A6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56-4B09-8703-AD59A4B720A6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56-4B09-8703-AD59A4B720A6}"/>
              </c:ext>
            </c:extLst>
          </c:dPt>
          <c:dPt>
            <c:idx val="4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56-4B09-8703-AD59A4B720A6}"/>
              </c:ext>
            </c:extLst>
          </c:dPt>
          <c:dPt>
            <c:idx val="5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F56-4B09-8703-AD59A4B720A6}"/>
              </c:ext>
            </c:extLst>
          </c:dPt>
          <c:cat>
            <c:strRef>
              <c:f>Calculations!$E$35:$E$40</c:f>
              <c:strCache>
                <c:ptCount val="3"/>
                <c:pt idx="0">
                  <c:v>Employment(Net)</c:v>
                </c:pt>
                <c:pt idx="1">
                  <c:v>Side Hustles(net)</c:v>
                </c:pt>
                <c:pt idx="2">
                  <c:v>Dividends</c:v>
                </c:pt>
              </c:strCache>
            </c:strRef>
          </c:cat>
          <c:val>
            <c:numRef>
              <c:f>Calculations!$F$35:$F$40</c:f>
              <c:numCache>
                <c:formatCode>_ * #,##0_ ;_ * \-#,##0_ ;_ * "-"??_ ;_ @_ </c:formatCode>
                <c:ptCount val="6"/>
                <c:pt idx="0">
                  <c:v>6500</c:v>
                </c:pt>
                <c:pt idx="1">
                  <c:v>4500</c:v>
                </c:pt>
                <c:pt idx="2">
                  <c:v>350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56-4B09-8703-AD59A4B72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25-41A4-810D-5531CFF4A912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25-41A4-810D-5531CFF4A912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25-41A4-810D-5531CFF4A912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25-41A4-810D-5531CFF4A912}"/>
              </c:ext>
            </c:extLst>
          </c:dPt>
          <c:dPt>
            <c:idx val="4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25-41A4-810D-5531CFF4A912}"/>
              </c:ext>
            </c:extLst>
          </c:dPt>
          <c:dPt>
            <c:idx val="5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125-41A4-810D-5531CFF4A912}"/>
              </c:ext>
            </c:extLst>
          </c:dPt>
          <c:cat>
            <c:strRef>
              <c:f>Calculations!$I$35:$I$40</c:f>
              <c:strCache>
                <c:ptCount val="5"/>
                <c:pt idx="0">
                  <c:v>Groceries</c:v>
                </c:pt>
                <c:pt idx="1">
                  <c:v>Housing</c:v>
                </c:pt>
                <c:pt idx="2">
                  <c:v>Utilities</c:v>
                </c:pt>
                <c:pt idx="3">
                  <c:v>Body care</c:v>
                </c:pt>
                <c:pt idx="4">
                  <c:v>Transport</c:v>
                </c:pt>
              </c:strCache>
            </c:strRef>
          </c:cat>
          <c:val>
            <c:numRef>
              <c:f>Calculations!$J$35:$J$40</c:f>
              <c:numCache>
                <c:formatCode>_ * #,##0_ ;_ * \-#,##0_ ;_ * "-"??_ ;_ @_ </c:formatCode>
                <c:ptCount val="6"/>
                <c:pt idx="0">
                  <c:v>2300</c:v>
                </c:pt>
                <c:pt idx="1">
                  <c:v>1800</c:v>
                </c:pt>
                <c:pt idx="2">
                  <c:v>1400</c:v>
                </c:pt>
                <c:pt idx="3">
                  <c:v>970</c:v>
                </c:pt>
                <c:pt idx="4">
                  <c:v>800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25-41A4-810D-5531CFF4A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5">
                <a:lumMod val="50000"/>
              </a:schemeClr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CD-4790-B538-D0FC9DE7C303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CD-4790-B538-D0FC9DE7C303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CD-4790-B538-D0FC9DE7C303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CD-4790-B538-D0FC9DE7C303}"/>
              </c:ext>
            </c:extLst>
          </c:dPt>
          <c:dPt>
            <c:idx val="4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CD-4790-B538-D0FC9DE7C303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CD-4790-B538-D0FC9DE7C303}"/>
              </c:ext>
            </c:extLst>
          </c:dPt>
          <c:cat>
            <c:strRef>
              <c:f>Calculations!$I$35:$I$40</c:f>
              <c:strCache>
                <c:ptCount val="5"/>
                <c:pt idx="0">
                  <c:v>Groceries</c:v>
                </c:pt>
                <c:pt idx="1">
                  <c:v>Housing</c:v>
                </c:pt>
                <c:pt idx="2">
                  <c:v>Utilities</c:v>
                </c:pt>
                <c:pt idx="3">
                  <c:v>Body care</c:v>
                </c:pt>
                <c:pt idx="4">
                  <c:v>Transport</c:v>
                </c:pt>
              </c:strCache>
            </c:strRef>
          </c:cat>
          <c:val>
            <c:numRef>
              <c:f>Calculations!$J$35:$J$40</c:f>
              <c:numCache>
                <c:formatCode>_ * #,##0_ ;_ * \-#,##0_ ;_ * "-"??_ ;_ @_ </c:formatCode>
                <c:ptCount val="6"/>
                <c:pt idx="0">
                  <c:v>2300</c:v>
                </c:pt>
                <c:pt idx="1">
                  <c:v>1800</c:v>
                </c:pt>
                <c:pt idx="2">
                  <c:v>1400</c:v>
                </c:pt>
                <c:pt idx="3">
                  <c:v>970</c:v>
                </c:pt>
                <c:pt idx="4">
                  <c:v>800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CD-4790-B538-D0FC9DE7C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84729603268732"/>
          <c:y val="0.12411962165073923"/>
          <c:w val="0.79635047156354477"/>
          <c:h val="0.70650624823579389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6D-4F35-8E31-3976B753176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6D-4F35-8E31-3976B753176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6D-4F35-8E31-3976B7531762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86D-4F35-8E31-3976B753176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86D-4F35-8E31-3976B7531762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86D-4F35-8E31-3976B753176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86D-4F35-8E31-3976B753176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86D-4F35-8E31-3976B753176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86D-4F35-8E31-3976B7531762}"/>
              </c:ext>
            </c:extLst>
          </c:dPt>
          <c:dPt>
            <c:idx val="1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86D-4F35-8E31-3976B753176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86D-4F35-8E31-3976B7531762}"/>
              </c:ext>
            </c:extLst>
          </c:dPt>
          <c:dPt>
            <c:idx val="2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86D-4F35-8E31-3976B7531762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86D-4F35-8E31-3976B7531762}"/>
              </c:ext>
            </c:extLst>
          </c:dPt>
          <c:dPt>
            <c:idx val="2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86D-4F35-8E31-3976B7531762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E86D-4F35-8E31-3976B7531762}"/>
              </c:ext>
            </c:extLst>
          </c:dPt>
          <c:dPt>
            <c:idx val="3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E86D-4F35-8E31-3976B753176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E86D-4F35-8E31-3976B7531762}"/>
              </c:ext>
            </c:extLst>
          </c:dPt>
          <c:dPt>
            <c:idx val="3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E86D-4F35-8E31-3976B7531762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E86D-4F35-8E31-3976B7531762}"/>
              </c:ext>
            </c:extLst>
          </c:dPt>
          <c:dPt>
            <c:idx val="3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E86D-4F35-8E31-3976B7531762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E86D-4F35-8E31-3976B7531762}"/>
              </c:ext>
            </c:extLst>
          </c:dPt>
          <c:dPt>
            <c:idx val="4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E86D-4F35-8E31-3976B7531762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E86D-4F35-8E31-3976B7531762}"/>
              </c:ext>
            </c:extLst>
          </c:dPt>
          <c:dPt>
            <c:idx val="4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E86D-4F35-8E31-3976B7531762}"/>
              </c:ext>
            </c:extLst>
          </c:dPt>
          <c:cat>
            <c:numRef>
              <c:f>Calculations!$D$54:$D$101</c:f>
              <c:numCache>
                <c:formatCode>mmm</c:formatCode>
                <c:ptCount val="48"/>
                <c:pt idx="0">
                  <c:v>44562</c:v>
                </c:pt>
                <c:pt idx="4">
                  <c:v>44593</c:v>
                </c:pt>
                <c:pt idx="8">
                  <c:v>44621</c:v>
                </c:pt>
                <c:pt idx="12">
                  <c:v>44652</c:v>
                </c:pt>
                <c:pt idx="16">
                  <c:v>44682</c:v>
                </c:pt>
                <c:pt idx="20">
                  <c:v>44713</c:v>
                </c:pt>
                <c:pt idx="24">
                  <c:v>44743</c:v>
                </c:pt>
                <c:pt idx="28">
                  <c:v>44774</c:v>
                </c:pt>
                <c:pt idx="32">
                  <c:v>44805</c:v>
                </c:pt>
                <c:pt idx="36">
                  <c:v>44835</c:v>
                </c:pt>
                <c:pt idx="40">
                  <c:v>44866</c:v>
                </c:pt>
                <c:pt idx="44">
                  <c:v>44896</c:v>
                </c:pt>
              </c:numCache>
            </c:numRef>
          </c:cat>
          <c:val>
            <c:numRef>
              <c:f>Calculations!$M$54:$M$101</c:f>
              <c:numCache>
                <c:formatCode>_ * #,##0_ ;_ * \-#,##0_ ;_ * "-"??_ ;_ @_ </c:formatCode>
                <c:ptCount val="48"/>
                <c:pt idx="0">
                  <c:v>4650</c:v>
                </c:pt>
                <c:pt idx="1">
                  <c:v>4650</c:v>
                </c:pt>
                <c:pt idx="2">
                  <c:v>1550</c:v>
                </c:pt>
                <c:pt idx="4">
                  <c:v>4500</c:v>
                </c:pt>
                <c:pt idx="5">
                  <c:v>2850</c:v>
                </c:pt>
                <c:pt idx="6">
                  <c:v>700</c:v>
                </c:pt>
                <c:pt idx="8">
                  <c:v>1050</c:v>
                </c:pt>
                <c:pt idx="9">
                  <c:v>370</c:v>
                </c:pt>
                <c:pt idx="10">
                  <c:v>500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86D-4F35-8E31-3976B7531762}"/>
            </c:ext>
          </c:extLst>
        </c:ser>
        <c:ser>
          <c:idx val="1"/>
          <c:order val="1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E86D-4F35-8E31-3976B753176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E86D-4F35-8E31-3976B753176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E86D-4F35-8E31-3976B753176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E86D-4F35-8E31-3976B753176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E86D-4F35-8E31-3976B753176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E86D-4F35-8E31-3976B753176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E86D-4F35-8E31-3976B7531762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E86D-4F35-8E31-3976B7531762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E86D-4F35-8E31-3976B753176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E86D-4F35-8E31-3976B7531762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E86D-4F35-8E31-3976B7531762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E86D-4F35-8E31-3976B7531762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E86D-4F35-8E31-3976B7531762}"/>
              </c:ext>
            </c:extLst>
          </c:dPt>
          <c:cat>
            <c:numRef>
              <c:f>Calculations!$D$54:$D$101</c:f>
              <c:numCache>
                <c:formatCode>mmm</c:formatCode>
                <c:ptCount val="48"/>
                <c:pt idx="0">
                  <c:v>44562</c:v>
                </c:pt>
                <c:pt idx="4">
                  <c:v>44593</c:v>
                </c:pt>
                <c:pt idx="8">
                  <c:v>44621</c:v>
                </c:pt>
                <c:pt idx="12">
                  <c:v>44652</c:v>
                </c:pt>
                <c:pt idx="16">
                  <c:v>44682</c:v>
                </c:pt>
                <c:pt idx="20">
                  <c:v>44713</c:v>
                </c:pt>
                <c:pt idx="24">
                  <c:v>44743</c:v>
                </c:pt>
                <c:pt idx="28">
                  <c:v>44774</c:v>
                </c:pt>
                <c:pt idx="32">
                  <c:v>44805</c:v>
                </c:pt>
                <c:pt idx="36">
                  <c:v>44835</c:v>
                </c:pt>
                <c:pt idx="40">
                  <c:v>44866</c:v>
                </c:pt>
                <c:pt idx="44">
                  <c:v>44896</c:v>
                </c:pt>
              </c:numCache>
            </c:numRef>
          </c:cat>
          <c:val>
            <c:numRef>
              <c:f>Calculations!$N$54:$N$101</c:f>
              <c:numCache>
                <c:formatCode>_ * #,##0_ ;_ * \-#,##0_ ;_ * "-"??_ ;_ @_ 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3100</c:v>
                </c:pt>
                <c:pt idx="4">
                  <c:v>150</c:v>
                </c:pt>
                <c:pt idx="5">
                  <c:v>1800</c:v>
                </c:pt>
                <c:pt idx="6">
                  <c:v>3950</c:v>
                </c:pt>
                <c:pt idx="8">
                  <c:v>3600</c:v>
                </c:pt>
                <c:pt idx="9">
                  <c:v>4280</c:v>
                </c:pt>
                <c:pt idx="10">
                  <c:v>4150</c:v>
                </c:pt>
                <c:pt idx="12">
                  <c:v>4650</c:v>
                </c:pt>
                <c:pt idx="13">
                  <c:v>4650</c:v>
                </c:pt>
                <c:pt idx="14">
                  <c:v>4650</c:v>
                </c:pt>
                <c:pt idx="16">
                  <c:v>4650</c:v>
                </c:pt>
                <c:pt idx="17">
                  <c:v>4650</c:v>
                </c:pt>
                <c:pt idx="18">
                  <c:v>4650</c:v>
                </c:pt>
                <c:pt idx="20">
                  <c:v>4650</c:v>
                </c:pt>
                <c:pt idx="21">
                  <c:v>4650</c:v>
                </c:pt>
                <c:pt idx="22">
                  <c:v>4650</c:v>
                </c:pt>
                <c:pt idx="24">
                  <c:v>4650</c:v>
                </c:pt>
                <c:pt idx="25">
                  <c:v>4650</c:v>
                </c:pt>
                <c:pt idx="26">
                  <c:v>4650</c:v>
                </c:pt>
                <c:pt idx="28">
                  <c:v>4650</c:v>
                </c:pt>
                <c:pt idx="29">
                  <c:v>4650</c:v>
                </c:pt>
                <c:pt idx="30">
                  <c:v>4650</c:v>
                </c:pt>
                <c:pt idx="32">
                  <c:v>4650</c:v>
                </c:pt>
                <c:pt idx="33">
                  <c:v>4650</c:v>
                </c:pt>
                <c:pt idx="34">
                  <c:v>4650</c:v>
                </c:pt>
                <c:pt idx="36">
                  <c:v>4650</c:v>
                </c:pt>
                <c:pt idx="37">
                  <c:v>4650</c:v>
                </c:pt>
                <c:pt idx="38">
                  <c:v>4650</c:v>
                </c:pt>
                <c:pt idx="40">
                  <c:v>4650</c:v>
                </c:pt>
                <c:pt idx="41">
                  <c:v>4650</c:v>
                </c:pt>
                <c:pt idx="42">
                  <c:v>4650</c:v>
                </c:pt>
                <c:pt idx="44">
                  <c:v>4650</c:v>
                </c:pt>
                <c:pt idx="45">
                  <c:v>4650</c:v>
                </c:pt>
                <c:pt idx="46">
                  <c:v>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E86D-4F35-8E31-3976B7531762}"/>
            </c:ext>
          </c:extLst>
        </c:ser>
        <c:ser>
          <c:idx val="2"/>
          <c:order val="2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E86D-4F35-8E31-3976B753176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E86D-4F35-8E31-3976B753176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E86D-4F35-8E31-3976B7531762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E86D-4F35-8E31-3976B753176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E86D-4F35-8E31-3976B7531762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E86D-4F35-8E31-3976B753176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E86D-4F35-8E31-3976B753176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E86D-4F35-8E31-3976B753176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E86D-4F35-8E31-3976B7531762}"/>
              </c:ext>
            </c:extLst>
          </c:dPt>
          <c:dPt>
            <c:idx val="1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E86D-4F35-8E31-3976B753176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E86D-4F35-8E31-3976B7531762}"/>
              </c:ext>
            </c:extLst>
          </c:dPt>
          <c:dPt>
            <c:idx val="2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E86D-4F35-8E31-3976B7531762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E86D-4F35-8E31-3976B7531762}"/>
              </c:ext>
            </c:extLst>
          </c:dPt>
          <c:dPt>
            <c:idx val="2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E86D-4F35-8E31-3976B7531762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E86D-4F35-8E31-3976B7531762}"/>
              </c:ext>
            </c:extLst>
          </c:dPt>
          <c:dPt>
            <c:idx val="3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E86D-4F35-8E31-3976B753176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E86D-4F35-8E31-3976B7531762}"/>
              </c:ext>
            </c:extLst>
          </c:dPt>
          <c:dPt>
            <c:idx val="3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E86D-4F35-8E31-3976B7531762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E86D-4F35-8E31-3976B7531762}"/>
              </c:ext>
            </c:extLst>
          </c:dPt>
          <c:dPt>
            <c:idx val="38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E86D-4F35-8E31-3976B7531762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E86D-4F35-8E31-3976B7531762}"/>
              </c:ext>
            </c:extLst>
          </c:dPt>
          <c:dPt>
            <c:idx val="4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E86D-4F35-8E31-3976B7531762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E86D-4F35-8E31-3976B7531762}"/>
              </c:ext>
            </c:extLst>
          </c:dPt>
          <c:dPt>
            <c:idx val="4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E86D-4F35-8E31-3976B7531762}"/>
              </c:ext>
            </c:extLst>
          </c:dPt>
          <c:cat>
            <c:numRef>
              <c:f>Calculations!$D$54:$D$101</c:f>
              <c:numCache>
                <c:formatCode>mmm</c:formatCode>
                <c:ptCount val="48"/>
                <c:pt idx="0">
                  <c:v>44562</c:v>
                </c:pt>
                <c:pt idx="4">
                  <c:v>44593</c:v>
                </c:pt>
                <c:pt idx="8">
                  <c:v>44621</c:v>
                </c:pt>
                <c:pt idx="12">
                  <c:v>44652</c:v>
                </c:pt>
                <c:pt idx="16">
                  <c:v>44682</c:v>
                </c:pt>
                <c:pt idx="20">
                  <c:v>44713</c:v>
                </c:pt>
                <c:pt idx="24">
                  <c:v>44743</c:v>
                </c:pt>
                <c:pt idx="28">
                  <c:v>44774</c:v>
                </c:pt>
                <c:pt idx="32">
                  <c:v>44805</c:v>
                </c:pt>
                <c:pt idx="36">
                  <c:v>44835</c:v>
                </c:pt>
                <c:pt idx="40">
                  <c:v>44866</c:v>
                </c:pt>
                <c:pt idx="44">
                  <c:v>44896</c:v>
                </c:pt>
              </c:numCache>
            </c:numRef>
          </c:cat>
          <c:val>
            <c:numRef>
              <c:f>Calculations!$O$54:$O$101</c:f>
              <c:numCache>
                <c:formatCode>_ * #,##0_ ;_ * \-#,##0_ ;_ * "-"??_ ;_ @_ </c:formatCode>
                <c:ptCount val="48"/>
                <c:pt idx="0">
                  <c:v>1150</c:v>
                </c:pt>
                <c:pt idx="1">
                  <c:v>400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E86D-4F35-8E31-3976B7531762}"/>
            </c:ext>
          </c:extLst>
        </c:ser>
        <c:ser>
          <c:idx val="3"/>
          <c:order val="3"/>
          <c:spPr>
            <a:solidFill>
              <a:srgbClr val="DCDCDC"/>
            </a:solidFill>
            <a:ln>
              <a:noFill/>
            </a:ln>
            <a:effectLst/>
          </c:spPr>
          <c:invertIfNegative val="0"/>
          <c:cat>
            <c:numRef>
              <c:f>Calculations!$D$54:$D$101</c:f>
              <c:numCache>
                <c:formatCode>mmm</c:formatCode>
                <c:ptCount val="48"/>
                <c:pt idx="0">
                  <c:v>44562</c:v>
                </c:pt>
                <c:pt idx="4">
                  <c:v>44593</c:v>
                </c:pt>
                <c:pt idx="8">
                  <c:v>44621</c:v>
                </c:pt>
                <c:pt idx="12">
                  <c:v>44652</c:v>
                </c:pt>
                <c:pt idx="16">
                  <c:v>44682</c:v>
                </c:pt>
                <c:pt idx="20">
                  <c:v>44713</c:v>
                </c:pt>
                <c:pt idx="24">
                  <c:v>44743</c:v>
                </c:pt>
                <c:pt idx="28">
                  <c:v>44774</c:v>
                </c:pt>
                <c:pt idx="32">
                  <c:v>44805</c:v>
                </c:pt>
                <c:pt idx="36">
                  <c:v>44835</c:v>
                </c:pt>
                <c:pt idx="40">
                  <c:v>44866</c:v>
                </c:pt>
                <c:pt idx="44">
                  <c:v>44896</c:v>
                </c:pt>
              </c:numCache>
            </c:numRef>
          </c:cat>
          <c:val>
            <c:numRef>
              <c:f>Calculations!$P$54:$P$101</c:f>
              <c:numCache>
                <c:formatCode>_ * #,##0_ ;_ * \-#,##0_ ;_ * "-"??_ ;_ @_ 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E86D-4F35-8E31-3976B7531762}"/>
            </c:ext>
          </c:extLst>
        </c:ser>
        <c:ser>
          <c:idx val="4"/>
          <c:order val="4"/>
          <c:spPr>
            <a:solidFill>
              <a:srgbClr val="F2F2F2"/>
            </a:solidFill>
            <a:ln>
              <a:noFill/>
            </a:ln>
            <a:effectLst/>
          </c:spPr>
          <c:invertIfNegative val="0"/>
          <c:cat>
            <c:numRef>
              <c:f>Calculations!$D$54:$D$101</c:f>
              <c:numCache>
                <c:formatCode>mmm</c:formatCode>
                <c:ptCount val="48"/>
                <c:pt idx="0">
                  <c:v>44562</c:v>
                </c:pt>
                <c:pt idx="4">
                  <c:v>44593</c:v>
                </c:pt>
                <c:pt idx="8">
                  <c:v>44621</c:v>
                </c:pt>
                <c:pt idx="12">
                  <c:v>44652</c:v>
                </c:pt>
                <c:pt idx="16">
                  <c:v>44682</c:v>
                </c:pt>
                <c:pt idx="20">
                  <c:v>44713</c:v>
                </c:pt>
                <c:pt idx="24">
                  <c:v>44743</c:v>
                </c:pt>
                <c:pt idx="28">
                  <c:v>44774</c:v>
                </c:pt>
                <c:pt idx="32">
                  <c:v>44805</c:v>
                </c:pt>
                <c:pt idx="36">
                  <c:v>44835</c:v>
                </c:pt>
                <c:pt idx="40">
                  <c:v>44866</c:v>
                </c:pt>
                <c:pt idx="44">
                  <c:v>44896</c:v>
                </c:pt>
              </c:numCache>
            </c:numRef>
          </c:cat>
          <c:val>
            <c:numRef>
              <c:f>Calculations!$Q$54:$Q$101</c:f>
              <c:numCache>
                <c:formatCode>_ * #,##0_ ;_ * \-#,##0_ ;_ * "-"??_ ;_ @_ 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E86D-4F35-8E31-3976B7531762}"/>
            </c:ext>
          </c:extLst>
        </c:ser>
        <c:ser>
          <c:idx val="5"/>
          <c:order val="5"/>
          <c:spPr>
            <a:solidFill>
              <a:srgbClr val="CDCDCD"/>
            </a:solidFill>
            <a:ln>
              <a:noFill/>
            </a:ln>
            <a:effectLst/>
          </c:spPr>
          <c:invertIfNegative val="0"/>
          <c:cat>
            <c:numRef>
              <c:f>Calculations!$D$54:$D$101</c:f>
              <c:numCache>
                <c:formatCode>mmm</c:formatCode>
                <c:ptCount val="48"/>
                <c:pt idx="0">
                  <c:v>44562</c:v>
                </c:pt>
                <c:pt idx="4">
                  <c:v>44593</c:v>
                </c:pt>
                <c:pt idx="8">
                  <c:v>44621</c:v>
                </c:pt>
                <c:pt idx="12">
                  <c:v>44652</c:v>
                </c:pt>
                <c:pt idx="16">
                  <c:v>44682</c:v>
                </c:pt>
                <c:pt idx="20">
                  <c:v>44713</c:v>
                </c:pt>
                <c:pt idx="24">
                  <c:v>44743</c:v>
                </c:pt>
                <c:pt idx="28">
                  <c:v>44774</c:v>
                </c:pt>
                <c:pt idx="32">
                  <c:v>44805</c:v>
                </c:pt>
                <c:pt idx="36">
                  <c:v>44835</c:v>
                </c:pt>
                <c:pt idx="40">
                  <c:v>44866</c:v>
                </c:pt>
                <c:pt idx="44">
                  <c:v>44896</c:v>
                </c:pt>
              </c:numCache>
            </c:numRef>
          </c:cat>
          <c:val>
            <c:numRef>
              <c:f>Calculations!$R$54:$R$101</c:f>
              <c:numCache>
                <c:formatCode>_ * #,##0_ ;_ * \-#,##0_ ;_ * "-"??_ ;_ @_ 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E86D-4F35-8E31-3976B7531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515520751"/>
        <c:axId val="515526031"/>
      </c:barChart>
      <c:catAx>
        <c:axId val="515520751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526031"/>
        <c:crosses val="autoZero"/>
        <c:auto val="0"/>
        <c:lblAlgn val="ctr"/>
        <c:lblOffset val="100"/>
        <c:noMultiLvlLbl val="0"/>
      </c:catAx>
      <c:valAx>
        <c:axId val="515526031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52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76931084896339"/>
          <c:y val="0.34374915416054586"/>
          <c:w val="0.49999962144126403"/>
          <c:h val="0.5000012303119333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val>
            <c:numRef>
              <c:f>Calculations!$E$24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0-48CF-942B-85225644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7627007"/>
        <c:axId val="537643807"/>
      </c:barChart>
      <c:catAx>
        <c:axId val="537627007"/>
        <c:scaling>
          <c:orientation val="minMax"/>
        </c:scaling>
        <c:delete val="1"/>
        <c:axPos val="l"/>
        <c:majorTickMark val="none"/>
        <c:minorTickMark val="none"/>
        <c:tickLblPos val="nextTo"/>
        <c:crossAx val="537643807"/>
        <c:crosses val="autoZero"/>
        <c:auto val="1"/>
        <c:lblAlgn val="ctr"/>
        <c:lblOffset val="100"/>
        <c:noMultiLvlLbl val="0"/>
      </c:catAx>
      <c:valAx>
        <c:axId val="537643807"/>
        <c:scaling>
          <c:orientation val="minMax"/>
          <c:max val="1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376270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7627007"/>
        <c:axId val="537643807"/>
      </c:barChart>
      <c:catAx>
        <c:axId val="537627007"/>
        <c:scaling>
          <c:orientation val="minMax"/>
        </c:scaling>
        <c:delete val="1"/>
        <c:axPos val="l"/>
        <c:majorTickMark val="none"/>
        <c:minorTickMark val="none"/>
        <c:tickLblPos val="nextTo"/>
        <c:crossAx val="537643807"/>
        <c:crosses val="autoZero"/>
        <c:auto val="1"/>
        <c:lblAlgn val="ctr"/>
        <c:lblOffset val="100"/>
        <c:noMultiLvlLbl val="0"/>
      </c:catAx>
      <c:valAx>
        <c:axId val="537643807"/>
        <c:scaling>
          <c:orientation val="minMax"/>
          <c:max val="1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376270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Calculations!$E$47" lockText="1" noThreeD="1"/>
</file>

<file path=xl/ctrlProps/ctrlProp2.xml><?xml version="1.0" encoding="utf-8"?>
<formControlPr xmlns="http://schemas.microsoft.com/office/spreadsheetml/2009/9/main" objectType="CheckBox" checked="Checked" fmlaLink="Calculations!$E$48" lockText="1" noThreeD="1"/>
</file>

<file path=xl/ctrlProps/ctrlProp3.xml><?xml version="1.0" encoding="utf-8"?>
<formControlPr xmlns="http://schemas.microsoft.com/office/spreadsheetml/2009/9/main" objectType="CheckBox" checked="Checked" fmlaLink="Calculations!$E$49" lockText="1" noThreeD="1"/>
</file>

<file path=xl/ctrlProps/ctrlProp4.xml><?xml version="1.0" encoding="utf-8"?>
<formControlPr xmlns="http://schemas.microsoft.com/office/spreadsheetml/2009/9/main" objectType="CheckBox" checked="Checked" fmlaLink="Calculations!$E$50" lockText="1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4</xdr:row>
      <xdr:rowOff>41910</xdr:rowOff>
    </xdr:from>
    <xdr:to>
      <xdr:col>2</xdr:col>
      <xdr:colOff>762000</xdr:colOff>
      <xdr:row>8</xdr:row>
      <xdr:rowOff>118110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39C7A6A1-C0B3-DDD0-61BC-2D6DCF8F74BD}"/>
            </a:ext>
          </a:extLst>
        </xdr:cNvPr>
        <xdr:cNvGrpSpPr/>
      </xdr:nvGrpSpPr>
      <xdr:grpSpPr>
        <a:xfrm>
          <a:off x="289560" y="922443"/>
          <a:ext cx="1691640" cy="821267"/>
          <a:chOff x="289560" y="899160"/>
          <a:chExt cx="1318260" cy="80772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10F34F06-9840-AE19-233E-80A9F05B302A}"/>
              </a:ext>
            </a:extLst>
          </xdr:cNvPr>
          <xdr:cNvSpPr/>
        </xdr:nvSpPr>
        <xdr:spPr>
          <a:xfrm>
            <a:off x="289560" y="899160"/>
            <a:ext cx="1318260" cy="80772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3AEF4B0C-D86D-0294-A9FB-F5D99ADF7BEE}"/>
              </a:ext>
            </a:extLst>
          </xdr:cNvPr>
          <xdr:cNvSpPr txBox="1"/>
        </xdr:nvSpPr>
        <xdr:spPr>
          <a:xfrm>
            <a:off x="388620" y="998220"/>
            <a:ext cx="112014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/>
              <a:t>Date of Today</a:t>
            </a:r>
          </a:p>
        </xdr:txBody>
      </xdr:sp>
      <xdr:sp macro="" textlink="Calculations!E8">
        <xdr:nvSpPr>
          <xdr:cNvPr id="6" name="TextBox 5">
            <a:extLst>
              <a:ext uri="{FF2B5EF4-FFF2-40B4-BE49-F238E27FC236}">
                <a16:creationId xmlns:a16="http://schemas.microsoft.com/office/drawing/2014/main" id="{B78ABC27-4F07-D29A-CF60-301CB9A02B89}"/>
              </a:ext>
            </a:extLst>
          </xdr:cNvPr>
          <xdr:cNvSpPr txBox="1"/>
        </xdr:nvSpPr>
        <xdr:spPr>
          <a:xfrm>
            <a:off x="373380" y="1234440"/>
            <a:ext cx="1150620" cy="251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C805C3C-AF1C-40B7-9F0C-248788694F89}" type="TxLink">
              <a:rPr lang="en-US" sz="12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21-May-26</a:t>
            </a:fld>
            <a:endParaRPr lang="en-IN" sz="1400" b="1"/>
          </a:p>
        </xdr:txBody>
      </xdr:sp>
    </xdr:grpSp>
    <xdr:clientData/>
  </xdr:twoCellAnchor>
  <xdr:twoCellAnchor editAs="absolute">
    <xdr:from>
      <xdr:col>3</xdr:col>
      <xdr:colOff>7620</xdr:colOff>
      <xdr:row>5</xdr:row>
      <xdr:rowOff>167640</xdr:rowOff>
    </xdr:from>
    <xdr:to>
      <xdr:col>3</xdr:col>
      <xdr:colOff>822960</xdr:colOff>
      <xdr:row>7</xdr:row>
      <xdr:rowOff>53340</xdr:rowOff>
    </xdr:to>
    <xdr:sp macro="" textlink="Calculations!E9">
      <xdr:nvSpPr>
        <xdr:cNvPr id="13" name="TextBox 12">
          <a:extLst>
            <a:ext uri="{FF2B5EF4-FFF2-40B4-BE49-F238E27FC236}">
              <a16:creationId xmlns:a16="http://schemas.microsoft.com/office/drawing/2014/main" id="{CFB10B79-6B2A-4065-B112-E91B89010291}"/>
            </a:ext>
          </a:extLst>
        </xdr:cNvPr>
        <xdr:cNvSpPr txBox="1"/>
      </xdr:nvSpPr>
      <xdr:spPr>
        <a:xfrm>
          <a:off x="2110740" y="1234440"/>
          <a:ext cx="8153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BF0A8EE-CD5B-4DE0-8689-745042991E1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15-Mar-22</a:t>
          </a:fld>
          <a:endParaRPr lang="en-IN" sz="1400" b="1"/>
        </a:p>
      </xdr:txBody>
    </xdr:sp>
    <xdr:clientData/>
  </xdr:twoCellAnchor>
  <xdr:twoCellAnchor>
    <xdr:from>
      <xdr:col>2</xdr:col>
      <xdr:colOff>838200</xdr:colOff>
      <xdr:row>4</xdr:row>
      <xdr:rowOff>41910</xdr:rowOff>
    </xdr:from>
    <xdr:to>
      <xdr:col>4</xdr:col>
      <xdr:colOff>1181100</xdr:colOff>
      <xdr:row>8</xdr:row>
      <xdr:rowOff>118110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75C0032-9060-78BC-836D-BA326FE476F7}"/>
            </a:ext>
          </a:extLst>
        </xdr:cNvPr>
        <xdr:cNvGrpSpPr/>
      </xdr:nvGrpSpPr>
      <xdr:grpSpPr>
        <a:xfrm>
          <a:off x="2057400" y="922443"/>
          <a:ext cx="2103967" cy="821267"/>
          <a:chOff x="2057400" y="891540"/>
          <a:chExt cx="1706880" cy="807720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76501CC7-B8C8-4EE0-B196-BC1FC03C10A3}"/>
              </a:ext>
            </a:extLst>
          </xdr:cNvPr>
          <xdr:cNvSpPr/>
        </xdr:nvSpPr>
        <xdr:spPr>
          <a:xfrm>
            <a:off x="2057400" y="891540"/>
            <a:ext cx="1706880" cy="80772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E932AB3-D0E3-4566-9C25-315FF23AB6F6}"/>
              </a:ext>
            </a:extLst>
          </xdr:cNvPr>
          <xdr:cNvSpPr txBox="1"/>
        </xdr:nvSpPr>
        <xdr:spPr>
          <a:xfrm>
            <a:off x="2110740" y="952500"/>
            <a:ext cx="1325880" cy="236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/>
              <a:t>Date of last</a:t>
            </a:r>
            <a:r>
              <a:rPr lang="en-IN" sz="1100" b="1" baseline="0"/>
              <a:t> </a:t>
            </a:r>
            <a:r>
              <a:rPr lang="en-IN" sz="1200" b="1" baseline="0"/>
              <a:t>record</a:t>
            </a:r>
            <a:endParaRPr lang="en-IN" sz="1100" b="1"/>
          </a:p>
        </xdr:txBody>
      </xdr:sp>
      <xdr:sp macro="" textlink="Calculations!E10">
        <xdr:nvSpPr>
          <xdr:cNvPr id="14" name="TextBox 13">
            <a:extLst>
              <a:ext uri="{FF2B5EF4-FFF2-40B4-BE49-F238E27FC236}">
                <a16:creationId xmlns:a16="http://schemas.microsoft.com/office/drawing/2014/main" id="{6910B7EF-4736-4CA7-A96A-9BB020854CD7}"/>
              </a:ext>
            </a:extLst>
          </xdr:cNvPr>
          <xdr:cNvSpPr txBox="1"/>
        </xdr:nvSpPr>
        <xdr:spPr>
          <a:xfrm>
            <a:off x="2827020" y="1242060"/>
            <a:ext cx="909161" cy="3086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62AE112-10B2-4C7A-AB02-D3864DAE7ABD}" type="TxLink">
              <a:rPr lang="en-US" sz="1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(1528 Days ago)</a:t>
            </a:fld>
            <a:endParaRPr lang="en-IN" sz="1100" b="1"/>
          </a:p>
        </xdr:txBody>
      </xdr:sp>
    </xdr:grpSp>
    <xdr:clientData/>
  </xdr:twoCellAnchor>
  <xdr:twoCellAnchor>
    <xdr:from>
      <xdr:col>4</xdr:col>
      <xdr:colOff>1249680</xdr:colOff>
      <xdr:row>4</xdr:row>
      <xdr:rowOff>41910</xdr:rowOff>
    </xdr:from>
    <xdr:to>
      <xdr:col>6</xdr:col>
      <xdr:colOff>662940</xdr:colOff>
      <xdr:row>8</xdr:row>
      <xdr:rowOff>118110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15F13A7-1F27-F02A-301E-3186F3F1387B}"/>
            </a:ext>
          </a:extLst>
        </xdr:cNvPr>
        <xdr:cNvGrpSpPr/>
      </xdr:nvGrpSpPr>
      <xdr:grpSpPr>
        <a:xfrm>
          <a:off x="4229947" y="922443"/>
          <a:ext cx="1707726" cy="821267"/>
          <a:chOff x="4236720" y="914400"/>
          <a:chExt cx="1706880" cy="807720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3D48B48A-4157-48EE-8717-2D17E9911A85}"/>
              </a:ext>
            </a:extLst>
          </xdr:cNvPr>
          <xdr:cNvSpPr/>
        </xdr:nvSpPr>
        <xdr:spPr>
          <a:xfrm>
            <a:off x="4236720" y="914400"/>
            <a:ext cx="1706880" cy="80772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C8273FD-CDE7-4D1F-9D65-01B093C6DD3E}"/>
              </a:ext>
            </a:extLst>
          </xdr:cNvPr>
          <xdr:cNvSpPr txBox="1"/>
        </xdr:nvSpPr>
        <xdr:spPr>
          <a:xfrm>
            <a:off x="4389120" y="967740"/>
            <a:ext cx="155448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200" b="1"/>
              <a:t>No of </a:t>
            </a:r>
            <a:r>
              <a:rPr lang="en-IN" sz="1100" b="1"/>
              <a:t>last</a:t>
            </a:r>
            <a:r>
              <a:rPr lang="en-IN" sz="1200" b="1" baseline="0"/>
              <a:t> record</a:t>
            </a:r>
            <a:endParaRPr lang="en-IN" sz="1200" b="1"/>
          </a:p>
        </xdr:txBody>
      </xdr:sp>
      <xdr:sp macro="" textlink="Calculations!E11">
        <xdr:nvSpPr>
          <xdr:cNvPr id="17" name="TextBox 16">
            <a:extLst>
              <a:ext uri="{FF2B5EF4-FFF2-40B4-BE49-F238E27FC236}">
                <a16:creationId xmlns:a16="http://schemas.microsoft.com/office/drawing/2014/main" id="{6AC7186A-674C-49F5-9488-EBC106E194E6}"/>
              </a:ext>
            </a:extLst>
          </xdr:cNvPr>
          <xdr:cNvSpPr txBox="1"/>
        </xdr:nvSpPr>
        <xdr:spPr>
          <a:xfrm>
            <a:off x="4472940" y="1249680"/>
            <a:ext cx="495300" cy="3086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8327DD6-260E-437F-B6D8-31FFBBE62AF8}" type="TxLink">
              <a:rPr lang="en-US" sz="1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45</a:t>
            </a:fld>
            <a:endParaRPr lang="en-IN" sz="1800" b="1"/>
          </a:p>
        </xdr:txBody>
      </xdr:sp>
      <xdr:sp macro="" textlink="Calculations!E12">
        <xdr:nvSpPr>
          <xdr:cNvPr id="18" name="TextBox 17">
            <a:extLst>
              <a:ext uri="{FF2B5EF4-FFF2-40B4-BE49-F238E27FC236}">
                <a16:creationId xmlns:a16="http://schemas.microsoft.com/office/drawing/2014/main" id="{F57816BD-E797-42CA-B667-30B99F3B267B}"/>
              </a:ext>
            </a:extLst>
          </xdr:cNvPr>
          <xdr:cNvSpPr txBox="1"/>
        </xdr:nvSpPr>
        <xdr:spPr>
          <a:xfrm>
            <a:off x="4777740" y="1272540"/>
            <a:ext cx="990600" cy="251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5FDA9BF-37E2-4B02-AB4F-1DF30BFD5402}" type="TxLink">
              <a:rPr lang="en-US" sz="105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(0 this year)</a:t>
            </a:fld>
            <a:endParaRPr lang="en-IN" sz="1050" b="1"/>
          </a:p>
        </xdr:txBody>
      </xdr:sp>
    </xdr:grpSp>
    <xdr:clientData/>
  </xdr:twoCellAnchor>
  <xdr:twoCellAnchor>
    <xdr:from>
      <xdr:col>6</xdr:col>
      <xdr:colOff>1022984</xdr:colOff>
      <xdr:row>4</xdr:row>
      <xdr:rowOff>32385</xdr:rowOff>
    </xdr:from>
    <xdr:to>
      <xdr:col>9</xdr:col>
      <xdr:colOff>266699</xdr:colOff>
      <xdr:row>8</xdr:row>
      <xdr:rowOff>108585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789D930-867C-4560-ADF2-7E5FE3FC71DB}"/>
            </a:ext>
          </a:extLst>
        </xdr:cNvPr>
        <xdr:cNvSpPr/>
      </xdr:nvSpPr>
      <xdr:spPr>
        <a:xfrm>
          <a:off x="6309359" y="918210"/>
          <a:ext cx="2939415" cy="800100"/>
        </a:xfrm>
        <a:prstGeom prst="roundRect">
          <a:avLst/>
        </a:prstGeom>
        <a:solidFill>
          <a:schemeClr val="bg1"/>
        </a:solidFill>
        <a:ln w="6350">
          <a:solidFill>
            <a:schemeClr val="bg1">
              <a:lumMod val="85000"/>
            </a:schemeClr>
          </a:solidFill>
        </a:ln>
        <a:effectLst>
          <a:outerShdw blurRad="825500" dist="127000" dir="5400000" sx="95000" sy="95000" algn="ctr" rotWithShape="0">
            <a:srgbClr val="000000">
              <a:alpha val="15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76199</xdr:colOff>
      <xdr:row>4</xdr:row>
      <xdr:rowOff>38100</xdr:rowOff>
    </xdr:from>
    <xdr:to>
      <xdr:col>9</xdr:col>
      <xdr:colOff>266700</xdr:colOff>
      <xdr:row>8</xdr:row>
      <xdr:rowOff>76200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D2DD118A-5E49-F693-A8D7-3A80945E0725}"/>
            </a:ext>
          </a:extLst>
        </xdr:cNvPr>
        <xdr:cNvGrpSpPr/>
      </xdr:nvGrpSpPr>
      <xdr:grpSpPr>
        <a:xfrm>
          <a:off x="6460066" y="918633"/>
          <a:ext cx="2772834" cy="783167"/>
          <a:chOff x="6385560" y="1005840"/>
          <a:chExt cx="4170224" cy="656542"/>
        </a:xfrm>
      </xdr:grpSpPr>
      <xdr:sp macro="" textlink="Calculations!D13">
        <xdr:nvSpPr>
          <xdr:cNvPr id="20" name="TextBox 19">
            <a:extLst>
              <a:ext uri="{FF2B5EF4-FFF2-40B4-BE49-F238E27FC236}">
                <a16:creationId xmlns:a16="http://schemas.microsoft.com/office/drawing/2014/main" id="{B2E6D966-29D9-4BCE-9FF6-A301D5C827D4}"/>
              </a:ext>
            </a:extLst>
          </xdr:cNvPr>
          <xdr:cNvSpPr txBox="1"/>
        </xdr:nvSpPr>
        <xdr:spPr>
          <a:xfrm>
            <a:off x="6423660" y="1005840"/>
            <a:ext cx="1325880" cy="236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423CA4E-1FF3-4CB6-8A98-2158D14A7B25}" type="TxLink">
              <a:rPr lang="en-US" sz="1200" b="1" i="0" u="none" strike="noStrike">
                <a:solidFill>
                  <a:srgbClr val="0D0D0D"/>
                </a:solidFill>
                <a:latin typeface="Calibri"/>
                <a:ea typeface="Calibri"/>
                <a:cs typeface="Calibri"/>
              </a:rPr>
              <a:pPr/>
              <a:t>Total tracking balance:</a:t>
            </a:fld>
            <a:endParaRPr lang="en-IN" sz="1200" b="1"/>
          </a:p>
        </xdr:txBody>
      </xdr:sp>
      <xdr:sp macro="" textlink="Calculations!E13">
        <xdr:nvSpPr>
          <xdr:cNvPr id="21" name="TextBox 20">
            <a:extLst>
              <a:ext uri="{FF2B5EF4-FFF2-40B4-BE49-F238E27FC236}">
                <a16:creationId xmlns:a16="http://schemas.microsoft.com/office/drawing/2014/main" id="{1CE8211A-11EC-4D17-A4EA-ECE4327F9891}"/>
              </a:ext>
            </a:extLst>
          </xdr:cNvPr>
          <xdr:cNvSpPr txBox="1"/>
        </xdr:nvSpPr>
        <xdr:spPr>
          <a:xfrm>
            <a:off x="6385560" y="1257300"/>
            <a:ext cx="1743111" cy="3473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5165E47-94D6-4918-8EAA-946301D02A2A}" type="TxLink">
              <a:rPr lang="en-US" sz="12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 130 </a:t>
            </a:fld>
            <a:endParaRPr lang="en-IN" sz="1600" b="1"/>
          </a:p>
        </xdr:txBody>
      </xdr:sp>
      <xdr:sp macro="" textlink="Calculations!E14">
        <xdr:nvSpPr>
          <xdr:cNvPr id="22" name="TextBox 21">
            <a:extLst>
              <a:ext uri="{FF2B5EF4-FFF2-40B4-BE49-F238E27FC236}">
                <a16:creationId xmlns:a16="http://schemas.microsoft.com/office/drawing/2014/main" id="{27557F12-6AA2-4DA8-850C-B38EEC814C3F}"/>
              </a:ext>
            </a:extLst>
          </xdr:cNvPr>
          <xdr:cNvSpPr txBox="1"/>
        </xdr:nvSpPr>
        <xdr:spPr>
          <a:xfrm>
            <a:off x="7114873" y="1247267"/>
            <a:ext cx="3440911" cy="4151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ECCF7703-B2C4-4C94-BB6A-1B208E95A771}" type="TxLink">
              <a:rPr lang="en-US" sz="105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off tracked income left to be allocated</a:t>
            </a:fld>
            <a:endParaRPr lang="en-US" sz="1050"/>
          </a:p>
        </xdr:txBody>
      </xdr:sp>
    </xdr:grpSp>
    <xdr:clientData/>
  </xdr:twoCellAnchor>
  <xdr:twoCellAnchor>
    <xdr:from>
      <xdr:col>3</xdr:col>
      <xdr:colOff>22860</xdr:colOff>
      <xdr:row>6</xdr:row>
      <xdr:rowOff>11431</xdr:rowOff>
    </xdr:from>
    <xdr:to>
      <xdr:col>4</xdr:col>
      <xdr:colOff>104775</xdr:colOff>
      <xdr:row>7</xdr:row>
      <xdr:rowOff>104776</xdr:rowOff>
    </xdr:to>
    <xdr:sp macro="" textlink="Calculations!E9">
      <xdr:nvSpPr>
        <xdr:cNvPr id="27" name="TextBox 26">
          <a:extLst>
            <a:ext uri="{FF2B5EF4-FFF2-40B4-BE49-F238E27FC236}">
              <a16:creationId xmlns:a16="http://schemas.microsoft.com/office/drawing/2014/main" id="{43750A01-4C31-4499-8F3C-CB244609D703}"/>
            </a:ext>
          </a:extLst>
        </xdr:cNvPr>
        <xdr:cNvSpPr txBox="1"/>
      </xdr:nvSpPr>
      <xdr:spPr>
        <a:xfrm>
          <a:off x="2127885" y="1259206"/>
          <a:ext cx="96774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1FB12E9-15BB-4F1F-B1B4-30FE7181205E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15-Mar-22</a:t>
          </a:fld>
          <a:endParaRPr lang="en-IN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68580</xdr:colOff>
      <xdr:row>9</xdr:row>
      <xdr:rowOff>91440</xdr:rowOff>
    </xdr:from>
    <xdr:to>
      <xdr:col>34</xdr:col>
      <xdr:colOff>220979</xdr:colOff>
      <xdr:row>10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1A91CA-DE5D-84B9-36EE-DC0E55CC075F}"/>
            </a:ext>
          </a:extLst>
        </xdr:cNvPr>
        <xdr:cNvSpPr txBox="1"/>
      </xdr:nvSpPr>
      <xdr:spPr>
        <a:xfrm>
          <a:off x="5634168" y="1772322"/>
          <a:ext cx="2326341" cy="263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accent6">
                  <a:lumMod val="75000"/>
                </a:schemeClr>
              </a:solidFill>
            </a:rPr>
            <a:t>Income </a:t>
          </a:r>
          <a:r>
            <a:rPr lang="en-IN" sz="1100" b="1">
              <a:solidFill>
                <a:schemeClr val="tx1"/>
              </a:solidFill>
            </a:rPr>
            <a:t>Categories(Tracked)</a:t>
          </a:r>
        </a:p>
      </xdr:txBody>
    </xdr:sp>
    <xdr:clientData/>
  </xdr:twoCellAnchor>
  <xdr:twoCellAnchor editAs="oneCell">
    <xdr:from>
      <xdr:col>31</xdr:col>
      <xdr:colOff>53340</xdr:colOff>
      <xdr:row>11</xdr:row>
      <xdr:rowOff>53340</xdr:rowOff>
    </xdr:from>
    <xdr:to>
      <xdr:col>32</xdr:col>
      <xdr:colOff>853440</xdr:colOff>
      <xdr:row>20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E1437B-4673-4000-9A16-659B9DC70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31</xdr:col>
      <xdr:colOff>68580</xdr:colOff>
      <xdr:row>22</xdr:row>
      <xdr:rowOff>91440</xdr:rowOff>
    </xdr:from>
    <xdr:ext cx="2324100" cy="2667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268FB3-B82F-4DB7-A8FE-CCE153C886A4}"/>
            </a:ext>
          </a:extLst>
        </xdr:cNvPr>
        <xdr:cNvSpPr txBox="1"/>
      </xdr:nvSpPr>
      <xdr:spPr>
        <a:xfrm>
          <a:off x="5634168" y="4103146"/>
          <a:ext cx="23241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rgbClr val="FF0000"/>
              </a:solidFill>
            </a:rPr>
            <a:t>Expenses</a:t>
          </a:r>
          <a:r>
            <a:rPr lang="en-IN" sz="1100" b="1">
              <a:solidFill>
                <a:schemeClr val="accent6">
                  <a:lumMod val="75000"/>
                </a:schemeClr>
              </a:solidFill>
            </a:rPr>
            <a:t> </a:t>
          </a:r>
          <a:r>
            <a:rPr lang="en-IN" sz="1100" b="1">
              <a:solidFill>
                <a:schemeClr val="tx1"/>
              </a:solidFill>
            </a:rPr>
            <a:t>Categories(Tracked)</a:t>
          </a:r>
        </a:p>
      </xdr:txBody>
    </xdr:sp>
    <xdr:clientData/>
  </xdr:oneCellAnchor>
  <xdr:oneCellAnchor>
    <xdr:from>
      <xdr:col>31</xdr:col>
      <xdr:colOff>53340</xdr:colOff>
      <xdr:row>24</xdr:row>
      <xdr:rowOff>53340</xdr:rowOff>
    </xdr:from>
    <xdr:ext cx="1813560" cy="161544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3D525E-236E-459C-91F5-E46CE04FF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38</xdr:col>
      <xdr:colOff>68580</xdr:colOff>
      <xdr:row>22</xdr:row>
      <xdr:rowOff>91440</xdr:rowOff>
    </xdr:from>
    <xdr:ext cx="2324100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A20412-E6EF-4A34-8D8D-155A22841607}"/>
            </a:ext>
          </a:extLst>
        </xdr:cNvPr>
        <xdr:cNvSpPr txBox="1"/>
      </xdr:nvSpPr>
      <xdr:spPr>
        <a:xfrm>
          <a:off x="9802756" y="4103146"/>
          <a:ext cx="23241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rgbClr val="FF0000"/>
              </a:solidFill>
            </a:rPr>
            <a:t>Expenses</a:t>
          </a:r>
          <a:r>
            <a:rPr lang="en-IN" sz="1100" b="1">
              <a:solidFill>
                <a:schemeClr val="accent6">
                  <a:lumMod val="75000"/>
                </a:schemeClr>
              </a:solidFill>
            </a:rPr>
            <a:t> </a:t>
          </a:r>
          <a:r>
            <a:rPr lang="en-IN" sz="1100" b="1">
              <a:solidFill>
                <a:schemeClr val="tx1"/>
              </a:solidFill>
            </a:rPr>
            <a:t>Categories(Tracked)</a:t>
          </a:r>
        </a:p>
      </xdr:txBody>
    </xdr:sp>
    <xdr:clientData/>
  </xdr:oneCellAnchor>
  <xdr:oneCellAnchor>
    <xdr:from>
      <xdr:col>38</xdr:col>
      <xdr:colOff>53340</xdr:colOff>
      <xdr:row>24</xdr:row>
      <xdr:rowOff>53340</xdr:rowOff>
    </xdr:from>
    <xdr:ext cx="1813560" cy="160782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4CD941-7287-4861-897D-D05DF4F53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 editAs="oneCell">
    <xdr:from>
      <xdr:col>38</xdr:col>
      <xdr:colOff>68580</xdr:colOff>
      <xdr:row>9</xdr:row>
      <xdr:rowOff>91440</xdr:rowOff>
    </xdr:from>
    <xdr:to>
      <xdr:col>41</xdr:col>
      <xdr:colOff>220979</xdr:colOff>
      <xdr:row>10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BB9F5EB-B441-47A1-8C2B-BF4A94C674D4}"/>
            </a:ext>
          </a:extLst>
        </xdr:cNvPr>
        <xdr:cNvSpPr txBox="1"/>
      </xdr:nvSpPr>
      <xdr:spPr>
        <a:xfrm>
          <a:off x="9778637" y="1800497"/>
          <a:ext cx="2318657" cy="268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tx1"/>
              </a:solidFill>
            </a:rPr>
            <a:t>Tracked</a:t>
          </a:r>
          <a:r>
            <a:rPr lang="en-IN" sz="1100" b="1" baseline="0">
              <a:solidFill>
                <a:schemeClr val="tx1"/>
              </a:solidFill>
            </a:rPr>
            <a:t> (vs. Budget)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171824</xdr:colOff>
      <xdr:row>11</xdr:row>
      <xdr:rowOff>97117</xdr:rowOff>
    </xdr:from>
    <xdr:to>
      <xdr:col>43</xdr:col>
      <xdr:colOff>343647</xdr:colOff>
      <xdr:row>20</xdr:row>
      <xdr:rowOff>49666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DCC5DC12-BBDA-51CA-E98E-8CDB6C8CC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7620</xdr:colOff>
          <xdr:row>9</xdr:row>
          <xdr:rowOff>114300</xdr:rowOff>
        </xdr:from>
        <xdr:to>
          <xdr:col>43</xdr:col>
          <xdr:colOff>99060</xdr:colOff>
          <xdr:row>10</xdr:row>
          <xdr:rowOff>114300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Income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7620</xdr:colOff>
          <xdr:row>10</xdr:row>
          <xdr:rowOff>91440</xdr:rowOff>
        </xdr:from>
        <xdr:to>
          <xdr:col>43</xdr:col>
          <xdr:colOff>99060</xdr:colOff>
          <xdr:row>11</xdr:row>
          <xdr:rowOff>91440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Expenses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7620</xdr:colOff>
          <xdr:row>11</xdr:row>
          <xdr:rowOff>76200</xdr:rowOff>
        </xdr:from>
        <xdr:to>
          <xdr:col>43</xdr:col>
          <xdr:colOff>99060</xdr:colOff>
          <xdr:row>12</xdr:row>
          <xdr:rowOff>76200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Savings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243840</xdr:colOff>
          <xdr:row>9</xdr:row>
          <xdr:rowOff>114300</xdr:rowOff>
        </xdr:from>
        <xdr:to>
          <xdr:col>41</xdr:col>
          <xdr:colOff>853440</xdr:colOff>
          <xdr:row>10</xdr:row>
          <xdr:rowOff>114300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Budget</a:t>
              </a:r>
            </a:p>
          </xdr:txBody>
        </xdr:sp>
        <xdr:clientData/>
      </xdr:twoCellAnchor>
    </mc:Choice>
    <mc:Fallback/>
  </mc:AlternateContent>
  <xdr:twoCellAnchor>
    <xdr:from>
      <xdr:col>41</xdr:col>
      <xdr:colOff>239058</xdr:colOff>
      <xdr:row>9</xdr:row>
      <xdr:rowOff>104587</xdr:rowOff>
    </xdr:from>
    <xdr:to>
      <xdr:col>43</xdr:col>
      <xdr:colOff>358588</xdr:colOff>
      <xdr:row>12</xdr:row>
      <xdr:rowOff>89645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3606AA-09CF-F3A5-D39F-BAE5E68A3035}"/>
            </a:ext>
          </a:extLst>
        </xdr:cNvPr>
        <xdr:cNvSpPr/>
      </xdr:nvSpPr>
      <xdr:spPr>
        <a:xfrm>
          <a:off x="13163176" y="1785469"/>
          <a:ext cx="1509059" cy="522941"/>
        </a:xfrm>
        <a:prstGeom prst="rect">
          <a:avLst/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3</xdr:row>
      <xdr:rowOff>33867</xdr:rowOff>
    </xdr:from>
    <xdr:to>
      <xdr:col>26</xdr:col>
      <xdr:colOff>0</xdr:colOff>
      <xdr:row>6</xdr:row>
      <xdr:rowOff>152401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D7B4D66B-02A6-45C5-8ADB-17F9DEE7E3A8}"/>
            </a:ext>
          </a:extLst>
        </xdr:cNvPr>
        <xdr:cNvGrpSpPr/>
      </xdr:nvGrpSpPr>
      <xdr:grpSpPr>
        <a:xfrm>
          <a:off x="1219200" y="609600"/>
          <a:ext cx="1921933" cy="694268"/>
          <a:chOff x="289560" y="899160"/>
          <a:chExt cx="1318260" cy="807720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8E23E0B-3182-ADB3-148D-FED5833516DD}"/>
              </a:ext>
            </a:extLst>
          </xdr:cNvPr>
          <xdr:cNvSpPr/>
        </xdr:nvSpPr>
        <xdr:spPr>
          <a:xfrm>
            <a:off x="289560" y="899160"/>
            <a:ext cx="1318260" cy="807720"/>
          </a:xfrm>
          <a:prstGeom prst="roundRect">
            <a:avLst/>
          </a:prstGeom>
          <a:solidFill>
            <a:schemeClr val="bg1"/>
          </a:solidFill>
          <a:ln w="6350">
            <a:solidFill>
              <a:schemeClr val="bg1">
                <a:lumMod val="85000"/>
              </a:schemeClr>
            </a:solidFill>
          </a:ln>
          <a:effectLst>
            <a:outerShdw blurRad="825500" dist="127000" dir="5400000" sx="95000" sy="95000" algn="ctr" rotWithShape="0">
              <a:srgbClr val="000000">
                <a:alpha val="15000"/>
              </a:srgbClr>
            </a:outerShdw>
          </a:effectLst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9123D2D-E750-E5D6-E904-449A4278DE2D}"/>
              </a:ext>
            </a:extLst>
          </xdr:cNvPr>
          <xdr:cNvSpPr txBox="1"/>
        </xdr:nvSpPr>
        <xdr:spPr>
          <a:xfrm>
            <a:off x="388620" y="998220"/>
            <a:ext cx="112014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200" b="1"/>
              <a:t>Selected Year &amp; Period</a:t>
            </a:r>
          </a:p>
        </xdr:txBody>
      </xdr:sp>
      <xdr:sp macro="" textlink="Calculations!E8">
        <xdr:nvSpPr>
          <xdr:cNvPr id="14" name="TextBox 13">
            <a:extLst>
              <a:ext uri="{FF2B5EF4-FFF2-40B4-BE49-F238E27FC236}">
                <a16:creationId xmlns:a16="http://schemas.microsoft.com/office/drawing/2014/main" id="{62A91332-14B5-749A-478E-B6F461CF7E09}"/>
              </a:ext>
            </a:extLst>
          </xdr:cNvPr>
          <xdr:cNvSpPr txBox="1"/>
        </xdr:nvSpPr>
        <xdr:spPr>
          <a:xfrm>
            <a:off x="373380" y="1234440"/>
            <a:ext cx="1150620" cy="251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N" sz="1400" b="1"/>
          </a:p>
        </xdr:txBody>
      </xdr:sp>
    </xdr:grpSp>
    <xdr:clientData/>
  </xdr:twoCellAnchor>
  <xdr:twoCellAnchor>
    <xdr:from>
      <xdr:col>24</xdr:col>
      <xdr:colOff>194733</xdr:colOff>
      <xdr:row>4</xdr:row>
      <xdr:rowOff>156632</xdr:rowOff>
    </xdr:from>
    <xdr:to>
      <xdr:col>24</xdr:col>
      <xdr:colOff>736600</xdr:colOff>
      <xdr:row>6</xdr:row>
      <xdr:rowOff>55032</xdr:rowOff>
    </xdr:to>
    <xdr:sp macro="" textlink="Selected_Year">
      <xdr:nvSpPr>
        <xdr:cNvPr id="15" name="Rectangle: Rounded Corners 14">
          <a:extLst>
            <a:ext uri="{FF2B5EF4-FFF2-40B4-BE49-F238E27FC236}">
              <a16:creationId xmlns:a16="http://schemas.microsoft.com/office/drawing/2014/main" id="{F08B4A5A-39E0-5626-506F-5EFC974FE5D7}"/>
            </a:ext>
          </a:extLst>
        </xdr:cNvPr>
        <xdr:cNvSpPr/>
      </xdr:nvSpPr>
      <xdr:spPr>
        <a:xfrm>
          <a:off x="1413933" y="927099"/>
          <a:ext cx="541867" cy="279400"/>
        </a:xfrm>
        <a:prstGeom prst="roundRect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E2583699-46AF-42EB-9E8C-31FFE810558E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2022</a:t>
          </a:fld>
          <a:endParaRPr lang="en-IN" sz="1200" b="1"/>
        </a:p>
      </xdr:txBody>
    </xdr:sp>
    <xdr:clientData/>
  </xdr:twoCellAnchor>
  <xdr:twoCellAnchor>
    <xdr:from>
      <xdr:col>24</xdr:col>
      <xdr:colOff>795867</xdr:colOff>
      <xdr:row>4</xdr:row>
      <xdr:rowOff>156632</xdr:rowOff>
    </xdr:from>
    <xdr:to>
      <xdr:col>25</xdr:col>
      <xdr:colOff>482600</xdr:colOff>
      <xdr:row>6</xdr:row>
      <xdr:rowOff>55032</xdr:rowOff>
    </xdr:to>
    <xdr:sp macro="" textlink="selected_period_display">
      <xdr:nvSpPr>
        <xdr:cNvPr id="16" name="Rectangle: Rounded Corners 15">
          <a:extLst>
            <a:ext uri="{FF2B5EF4-FFF2-40B4-BE49-F238E27FC236}">
              <a16:creationId xmlns:a16="http://schemas.microsoft.com/office/drawing/2014/main" id="{58E273C0-74BF-468D-8C9B-C4B58BD81C3F}"/>
            </a:ext>
          </a:extLst>
        </xdr:cNvPr>
        <xdr:cNvSpPr/>
      </xdr:nvSpPr>
      <xdr:spPr>
        <a:xfrm>
          <a:off x="2015067" y="927099"/>
          <a:ext cx="999066" cy="279400"/>
        </a:xfrm>
        <a:prstGeom prst="roundRect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98755EF-9EF4-4B99-8445-F1C1EA0107C2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Total Year</a:t>
          </a:fld>
          <a:endParaRPr lang="en-IN" sz="1200" b="1"/>
        </a:p>
      </xdr:txBody>
    </xdr:sp>
    <xdr:clientData/>
  </xdr:twoCellAnchor>
  <xdr:twoCellAnchor>
    <xdr:from>
      <xdr:col>26</xdr:col>
      <xdr:colOff>101600</xdr:colOff>
      <xdr:row>3</xdr:row>
      <xdr:rowOff>33868</xdr:rowOff>
    </xdr:from>
    <xdr:to>
      <xdr:col>28</xdr:col>
      <xdr:colOff>67733</xdr:colOff>
      <xdr:row>6</xdr:row>
      <xdr:rowOff>152401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336F9D84-1B50-1EC6-2E55-775E7EBF337F}"/>
            </a:ext>
          </a:extLst>
        </xdr:cNvPr>
        <xdr:cNvSpPr/>
      </xdr:nvSpPr>
      <xdr:spPr>
        <a:xfrm>
          <a:off x="3242733" y="609601"/>
          <a:ext cx="1303867" cy="694267"/>
        </a:xfrm>
        <a:prstGeom prst="roundRect">
          <a:avLst/>
        </a:prstGeom>
        <a:solidFill>
          <a:schemeClr val="bg1"/>
        </a:solidFill>
        <a:ln w="6350">
          <a:solidFill>
            <a:schemeClr val="bg1">
              <a:lumMod val="85000"/>
            </a:schemeClr>
          </a:solidFill>
        </a:ln>
        <a:effectLst>
          <a:outerShdw blurRad="825500" dist="127000" dir="5400000" sx="95000" sy="95000" algn="ctr" rotWithShape="0">
            <a:srgbClr val="000000">
              <a:alpha val="15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253168</xdr:colOff>
      <xdr:row>3</xdr:row>
      <xdr:rowOff>135945</xdr:rowOff>
    </xdr:from>
    <xdr:to>
      <xdr:col>27</xdr:col>
      <xdr:colOff>558800</xdr:colOff>
      <xdr:row>5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62C3AC7-8900-791A-97AE-29BD71DBFDF4}"/>
            </a:ext>
          </a:extLst>
        </xdr:cNvPr>
        <xdr:cNvSpPr txBox="1"/>
      </xdr:nvSpPr>
      <xdr:spPr>
        <a:xfrm>
          <a:off x="3394301" y="711678"/>
          <a:ext cx="1008366" cy="245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Period</a:t>
          </a:r>
          <a:r>
            <a:rPr lang="en-IN" sz="1100" b="1" baseline="0"/>
            <a:t> Compl.</a:t>
          </a:r>
          <a:endParaRPr lang="en-IN" sz="1100" b="1"/>
        </a:p>
      </xdr:txBody>
    </xdr:sp>
    <xdr:clientData/>
  </xdr:twoCellAnchor>
  <xdr:twoCellAnchor>
    <xdr:from>
      <xdr:col>26</xdr:col>
      <xdr:colOff>287868</xdr:colOff>
      <xdr:row>4</xdr:row>
      <xdr:rowOff>67732</xdr:rowOff>
    </xdr:from>
    <xdr:to>
      <xdr:col>28</xdr:col>
      <xdr:colOff>270933</xdr:colOff>
      <xdr:row>6</xdr:row>
      <xdr:rowOff>93133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898F6A2-C6A1-4EDF-9B90-2592892D4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253169</xdr:colOff>
      <xdr:row>4</xdr:row>
      <xdr:rowOff>135782</xdr:rowOff>
    </xdr:from>
    <xdr:to>
      <xdr:col>27</xdr:col>
      <xdr:colOff>601133</xdr:colOff>
      <xdr:row>6</xdr:row>
      <xdr:rowOff>33866</xdr:rowOff>
    </xdr:to>
    <xdr:sp macro="" textlink="Calculations!E24">
      <xdr:nvSpPr>
        <xdr:cNvPr id="20" name="TextBox 19">
          <a:extLst>
            <a:ext uri="{FF2B5EF4-FFF2-40B4-BE49-F238E27FC236}">
              <a16:creationId xmlns:a16="http://schemas.microsoft.com/office/drawing/2014/main" id="{A6503045-B4D6-9843-5098-34AF8CCF5610}"/>
            </a:ext>
          </a:extLst>
        </xdr:cNvPr>
        <xdr:cNvSpPr txBox="1"/>
      </xdr:nvSpPr>
      <xdr:spPr>
        <a:xfrm>
          <a:off x="3394302" y="906249"/>
          <a:ext cx="1050698" cy="279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FDF18C8-F3EB-4E64-A0CC-5E50E49FB496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100%</a:t>
          </a:fld>
          <a:endParaRPr lang="en-IN" sz="1600" b="1"/>
        </a:p>
      </xdr:txBody>
    </xdr:sp>
    <xdr:clientData/>
  </xdr:twoCellAnchor>
  <xdr:twoCellAnchor>
    <xdr:from>
      <xdr:col>28</xdr:col>
      <xdr:colOff>254000</xdr:colOff>
      <xdr:row>3</xdr:row>
      <xdr:rowOff>46568</xdr:rowOff>
    </xdr:from>
    <xdr:to>
      <xdr:col>32</xdr:col>
      <xdr:colOff>465667</xdr:colOff>
      <xdr:row>6</xdr:row>
      <xdr:rowOff>139701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1E3050FF-E97F-1D0F-E3FD-0A97D0F8860E}"/>
            </a:ext>
          </a:extLst>
        </xdr:cNvPr>
        <xdr:cNvSpPr/>
      </xdr:nvSpPr>
      <xdr:spPr>
        <a:xfrm>
          <a:off x="4732867" y="622301"/>
          <a:ext cx="2921000" cy="668867"/>
        </a:xfrm>
        <a:prstGeom prst="roundRect">
          <a:avLst/>
        </a:prstGeom>
        <a:ln>
          <a:solidFill>
            <a:srgbClr val="CDCDCD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397865</xdr:colOff>
      <xdr:row>3</xdr:row>
      <xdr:rowOff>67733</xdr:rowOff>
    </xdr:from>
    <xdr:to>
      <xdr:col>31</xdr:col>
      <xdr:colOff>609599</xdr:colOff>
      <xdr:row>4</xdr:row>
      <xdr:rowOff>169333</xdr:rowOff>
    </xdr:to>
    <xdr:sp macro="" textlink="Calculations!D13">
      <xdr:nvSpPr>
        <xdr:cNvPr id="28" name="TextBox 27">
          <a:extLst>
            <a:ext uri="{FF2B5EF4-FFF2-40B4-BE49-F238E27FC236}">
              <a16:creationId xmlns:a16="http://schemas.microsoft.com/office/drawing/2014/main" id="{47623DC2-CB0D-4E15-9745-BB10AC4AD814}"/>
            </a:ext>
          </a:extLst>
        </xdr:cNvPr>
        <xdr:cNvSpPr txBox="1"/>
      </xdr:nvSpPr>
      <xdr:spPr>
        <a:xfrm>
          <a:off x="4876732" y="643466"/>
          <a:ext cx="1905067" cy="296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Period</a:t>
          </a:r>
          <a:r>
            <a:rPr lang="en-IN" sz="1200" b="1" baseline="0"/>
            <a:t> Tracking Balance:</a:t>
          </a:r>
          <a:endParaRPr lang="en-IN" sz="1200" b="1"/>
        </a:p>
      </xdr:txBody>
    </xdr:sp>
    <xdr:clientData/>
  </xdr:twoCellAnchor>
  <xdr:twoCellAnchor>
    <xdr:from>
      <xdr:col>28</xdr:col>
      <xdr:colOff>330200</xdr:colOff>
      <xdr:row>4</xdr:row>
      <xdr:rowOff>180972</xdr:rowOff>
    </xdr:from>
    <xdr:to>
      <xdr:col>29</xdr:col>
      <xdr:colOff>93134</xdr:colOff>
      <xdr:row>6</xdr:row>
      <xdr:rowOff>74930</xdr:rowOff>
    </xdr:to>
    <xdr:sp macro="" textlink="Calculations!E25">
      <xdr:nvSpPr>
        <xdr:cNvPr id="29" name="TextBox 28">
          <a:extLst>
            <a:ext uri="{FF2B5EF4-FFF2-40B4-BE49-F238E27FC236}">
              <a16:creationId xmlns:a16="http://schemas.microsoft.com/office/drawing/2014/main" id="{66A0A79B-ABCA-4CD4-85AE-38460E9BA15C}"/>
            </a:ext>
          </a:extLst>
        </xdr:cNvPr>
        <xdr:cNvSpPr txBox="1"/>
      </xdr:nvSpPr>
      <xdr:spPr>
        <a:xfrm>
          <a:off x="4809067" y="951439"/>
          <a:ext cx="541867" cy="274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333FD4C-1350-43A3-86B6-85120EFDFF8B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330 </a:t>
          </a:fld>
          <a:endParaRPr lang="en-IN" sz="1600" b="1"/>
        </a:p>
      </xdr:txBody>
    </xdr:sp>
    <xdr:clientData/>
  </xdr:twoCellAnchor>
  <xdr:twoCellAnchor>
    <xdr:from>
      <xdr:col>29</xdr:col>
      <xdr:colOff>53129</xdr:colOff>
      <xdr:row>5</xdr:row>
      <xdr:rowOff>6137</xdr:rowOff>
    </xdr:from>
    <xdr:to>
      <xdr:col>32</xdr:col>
      <xdr:colOff>440266</xdr:colOff>
      <xdr:row>6</xdr:row>
      <xdr:rowOff>63500</xdr:rowOff>
    </xdr:to>
    <xdr:sp macro="" textlink="Calculations!E14">
      <xdr:nvSpPr>
        <xdr:cNvPr id="30" name="TextBox 29">
          <a:extLst>
            <a:ext uri="{FF2B5EF4-FFF2-40B4-BE49-F238E27FC236}">
              <a16:creationId xmlns:a16="http://schemas.microsoft.com/office/drawing/2014/main" id="{09D16097-FF9F-4166-87E0-65AA13F77770}"/>
            </a:ext>
          </a:extLst>
        </xdr:cNvPr>
        <xdr:cNvSpPr txBox="1"/>
      </xdr:nvSpPr>
      <xdr:spPr>
        <a:xfrm>
          <a:off x="5310929" y="962870"/>
          <a:ext cx="2317537" cy="252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CCF7703-B2C4-4C94-BB6A-1B208E95A771}" type="TxLink">
            <a:rPr lang="en-US" sz="105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off tracked income left to be allocated</a:t>
          </a:fld>
          <a:endParaRPr lang="en-US" sz="1050" b="0"/>
        </a:p>
      </xdr:txBody>
    </xdr:sp>
    <xdr:clientData/>
  </xdr:twoCellAnchor>
  <xdr:twoCellAnchor>
    <xdr:from>
      <xdr:col>32</xdr:col>
      <xdr:colOff>533399</xdr:colOff>
      <xdr:row>3</xdr:row>
      <xdr:rowOff>46568</xdr:rowOff>
    </xdr:from>
    <xdr:to>
      <xdr:col>35</xdr:col>
      <xdr:colOff>381000</xdr:colOff>
      <xdr:row>6</xdr:row>
      <xdr:rowOff>139701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E7BABF40-71C1-49E1-A3BD-F62F62EB499C}"/>
            </a:ext>
          </a:extLst>
        </xdr:cNvPr>
        <xdr:cNvSpPr/>
      </xdr:nvSpPr>
      <xdr:spPr>
        <a:xfrm>
          <a:off x="7721599" y="622301"/>
          <a:ext cx="2201334" cy="668867"/>
        </a:xfrm>
        <a:prstGeom prst="roundRect">
          <a:avLst/>
        </a:prstGeom>
        <a:ln>
          <a:solidFill>
            <a:srgbClr val="CDCDCD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677264</xdr:colOff>
      <xdr:row>3</xdr:row>
      <xdr:rowOff>50800</xdr:rowOff>
    </xdr:from>
    <xdr:to>
      <xdr:col>35</xdr:col>
      <xdr:colOff>228598</xdr:colOff>
      <xdr:row>4</xdr:row>
      <xdr:rowOff>152400</xdr:rowOff>
    </xdr:to>
    <xdr:sp macro="" textlink="Calculations!D13">
      <xdr:nvSpPr>
        <xdr:cNvPr id="33" name="TextBox 32">
          <a:extLst>
            <a:ext uri="{FF2B5EF4-FFF2-40B4-BE49-F238E27FC236}">
              <a16:creationId xmlns:a16="http://schemas.microsoft.com/office/drawing/2014/main" id="{C1A84EFF-61B6-4591-92FC-4C02C910C4F4}"/>
            </a:ext>
          </a:extLst>
        </xdr:cNvPr>
        <xdr:cNvSpPr txBox="1"/>
      </xdr:nvSpPr>
      <xdr:spPr>
        <a:xfrm>
          <a:off x="7865464" y="626533"/>
          <a:ext cx="1905067" cy="296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Period</a:t>
          </a:r>
          <a:r>
            <a:rPr lang="en-IN" sz="1200" b="1" baseline="0"/>
            <a:t> savings rate:</a:t>
          </a:r>
          <a:endParaRPr lang="en-IN" sz="1200" b="1"/>
        </a:p>
      </xdr:txBody>
    </xdr:sp>
    <xdr:clientData/>
  </xdr:twoCellAnchor>
  <xdr:twoCellAnchor>
    <xdr:from>
      <xdr:col>34</xdr:col>
      <xdr:colOff>152400</xdr:colOff>
      <xdr:row>4</xdr:row>
      <xdr:rowOff>120754</xdr:rowOff>
    </xdr:from>
    <xdr:to>
      <xdr:col>34</xdr:col>
      <xdr:colOff>736601</xdr:colOff>
      <xdr:row>6</xdr:row>
      <xdr:rowOff>14712</xdr:rowOff>
    </xdr:to>
    <xdr:sp macro="" textlink="Calculations!E27">
      <xdr:nvSpPr>
        <xdr:cNvPr id="34" name="TextBox 33">
          <a:extLst>
            <a:ext uri="{FF2B5EF4-FFF2-40B4-BE49-F238E27FC236}">
              <a16:creationId xmlns:a16="http://schemas.microsoft.com/office/drawing/2014/main" id="{AFF49595-271C-4BB4-BE10-4412607BA24D}"/>
            </a:ext>
          </a:extLst>
        </xdr:cNvPr>
        <xdr:cNvSpPr txBox="1"/>
      </xdr:nvSpPr>
      <xdr:spPr>
        <a:xfrm>
          <a:off x="8500533" y="891221"/>
          <a:ext cx="584201" cy="274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5B76D94-A784-4B40-BC97-A0522413C8E3}" type="TxLink">
            <a:rPr lang="en-US" sz="11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24.2%</a:t>
          </a:fld>
          <a:endParaRPr lang="en-IN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32</xdr:col>
      <xdr:colOff>493395</xdr:colOff>
      <xdr:row>4</xdr:row>
      <xdr:rowOff>117368</xdr:rowOff>
    </xdr:from>
    <xdr:to>
      <xdr:col>34</xdr:col>
      <xdr:colOff>347134</xdr:colOff>
      <xdr:row>6</xdr:row>
      <xdr:rowOff>18098</xdr:rowOff>
    </xdr:to>
    <xdr:sp macro="" textlink="Calculations!E14">
      <xdr:nvSpPr>
        <xdr:cNvPr id="35" name="TextBox 34">
          <a:extLst>
            <a:ext uri="{FF2B5EF4-FFF2-40B4-BE49-F238E27FC236}">
              <a16:creationId xmlns:a16="http://schemas.microsoft.com/office/drawing/2014/main" id="{720738C7-9537-491B-8D73-E6EE097E8825}"/>
            </a:ext>
          </a:extLst>
        </xdr:cNvPr>
        <xdr:cNvSpPr txBox="1"/>
      </xdr:nvSpPr>
      <xdr:spPr>
        <a:xfrm>
          <a:off x="7681595" y="887835"/>
          <a:ext cx="1013672" cy="281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0"/>
            <a:t>you</a:t>
          </a:r>
          <a:r>
            <a:rPr lang="en-US" sz="1050" b="0" baseline="0"/>
            <a:t> are saving</a:t>
          </a:r>
          <a:endParaRPr lang="en-US" sz="1050" b="0"/>
        </a:p>
      </xdr:txBody>
    </xdr:sp>
    <xdr:clientData/>
  </xdr:twoCellAnchor>
  <xdr:twoCellAnchor>
    <xdr:from>
      <xdr:col>34</xdr:col>
      <xdr:colOff>550334</xdr:colOff>
      <xdr:row>4</xdr:row>
      <xdr:rowOff>117368</xdr:rowOff>
    </xdr:from>
    <xdr:to>
      <xdr:col>35</xdr:col>
      <xdr:colOff>370206</xdr:colOff>
      <xdr:row>6</xdr:row>
      <xdr:rowOff>18098</xdr:rowOff>
    </xdr:to>
    <xdr:sp macro="" textlink="Calculations!E14">
      <xdr:nvSpPr>
        <xdr:cNvPr id="36" name="TextBox 35">
          <a:extLst>
            <a:ext uri="{FF2B5EF4-FFF2-40B4-BE49-F238E27FC236}">
              <a16:creationId xmlns:a16="http://schemas.microsoft.com/office/drawing/2014/main" id="{00972673-6B78-44B2-90BC-F851BDB8E8E3}"/>
            </a:ext>
          </a:extLst>
        </xdr:cNvPr>
        <xdr:cNvSpPr txBox="1"/>
      </xdr:nvSpPr>
      <xdr:spPr>
        <a:xfrm>
          <a:off x="8898467" y="887835"/>
          <a:ext cx="1013672" cy="281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0"/>
            <a:t>of</a:t>
          </a:r>
          <a:r>
            <a:rPr lang="en-US" sz="1050" b="0" baseline="0"/>
            <a:t> your income</a:t>
          </a:r>
          <a:endParaRPr lang="en-US" sz="105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11</xdr:row>
      <xdr:rowOff>137160</xdr:rowOff>
    </xdr:from>
    <xdr:to>
      <xdr:col>11</xdr:col>
      <xdr:colOff>899160</xdr:colOff>
      <xdr:row>16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99C9FC-ED3E-E979-2191-94853241D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A3BED6-DA77-40F1-BD32-936A86EAC89A}" name="Expenses" displayName="Expenses" ref="C22:C31" totalsRowShown="0" headerRowDxfId="52" dataDxfId="51">
  <autoFilter ref="C22:C31" xr:uid="{55A3BED6-DA77-40F1-BD32-936A86EAC89A}"/>
  <tableColumns count="1">
    <tableColumn id="1" xr3:uid="{09396932-ABEF-47B3-96BC-E5E28D08A235}" name="Expenses" dataDxfId="50"/>
  </tableColumns>
  <tableStyleInfo name="Expenses_table_style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7B7458-5892-4C1A-87B0-23E35367F61B}" name="Savings" displayName="Savings" ref="C35:C40" totalsRowShown="0" headerRowDxfId="49" dataDxfId="48">
  <autoFilter ref="C35:C40" xr:uid="{457B7458-5892-4C1A-87B0-23E35367F61B}"/>
  <tableColumns count="1">
    <tableColumn id="1" xr3:uid="{81DF8844-B4AD-45D5-80CD-4DF573FFF163}" name="Savings" dataDxfId="47"/>
  </tableColumns>
  <tableStyleInfo name="savingstable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00B93-2D71-4462-8FB8-4D2129B1D961}" name="Income" displayName="Income" ref="C9:C12" totalsRowShown="0" headerRowDxfId="46" dataDxfId="45">
  <autoFilter ref="C9:C12" xr:uid="{AC900B93-2D71-4462-8FB8-4D2129B1D961}"/>
  <tableColumns count="1">
    <tableColumn id="1" xr3:uid="{E2C96502-908D-48FF-A616-9AB5D0A73AFF}" name="Income" dataDxfId="44"/>
  </tableColumns>
  <tableStyleInfo name="Income Table 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AE1757-CFE3-4604-835D-C7021C569BD1}" name="Tracking" displayName="Tracking" ref="C11:I57" totalsRowShown="0" headerRowDxfId="43" dataDxfId="42">
  <autoFilter ref="C11:I57" xr:uid="{1EAE1757-CFE3-4604-835D-C7021C569BD1}">
    <filterColumn colId="6">
      <filters>
        <dateGroupItem year="2022" month="3" dateTimeGrouping="month"/>
      </filters>
    </filterColumn>
  </autoFilter>
  <tableColumns count="7">
    <tableColumn id="1" xr3:uid="{B36F2BDA-7864-4F40-AAF3-F567AF28A212}" name="Date" dataDxfId="41"/>
    <tableColumn id="2" xr3:uid="{2C28059D-191B-44E1-B09F-15FD238220CD}" name="Type" dataDxfId="40"/>
    <tableColumn id="3" xr3:uid="{53CACA4D-7F55-40A4-9740-9C1A6889E894}" name="Category" dataDxfId="39"/>
    <tableColumn id="4" xr3:uid="{CCB615C2-5AC7-43C6-8071-FFD749559A8F}" name="Amount" dataDxfId="38" dataCellStyle="Comma"/>
    <tableColumn id="5" xr3:uid="{45C64011-04A0-43AE-9C4B-0EB706B840C5}" name="Details" dataDxfId="37"/>
    <tableColumn id="7" xr3:uid="{BBAC917D-72B2-40AB-9F1C-622BC3486C2E}" name="Balance" dataDxfId="36" dataCellStyle="Comma">
      <calculatedColumnFormula array="1">SUMPRODUCT(Tracking[Amount],-- (Tracking[Date]&lt;=Tracking[[#This Row],[Date]]), (Tracking[Type]&lt;&gt;"Income")*(-1)+(Tracking[Type]="Income"))</calculatedColumnFormula>
    </tableColumn>
    <tableColumn id="8" xr3:uid="{BDD28459-EDD2-43B6-8CA5-DA485EAE6D81}" name="Effective Date" dataDxfId="35">
      <calculatedColumnFormula>IF(AND(Tracking[[#This Row],[Type]] = "Income", shift_late_income_status="Active", DAY(Tracking[[#This Row],[Date]])&gt;=shift_late_income_starting_day), DATE(YEAR(Tracking[[#This Row],[Date]]), MONTH(Tracking[[#This Row],[Date]])+1,1),Tracking[[#This Row],[Date]])</calculatedColumnFormula>
    </tableColumn>
  </tableColumns>
  <tableStyleInfo name="Tracking table 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1BCF-DBAB-4BAD-981A-81274D87A1D0}">
  <sheetPr codeName="Sheet2"/>
  <dimension ref="A1:AO25"/>
  <sheetViews>
    <sheetView showGridLines="0" workbookViewId="0">
      <selection activeCell="E12" sqref="E12"/>
    </sheetView>
  </sheetViews>
  <sheetFormatPr defaultRowHeight="14.4" x14ac:dyDescent="0.3"/>
  <cols>
    <col min="2" max="2" width="10.109375" customWidth="1"/>
    <col min="3" max="3" width="5.5546875" customWidth="1"/>
    <col min="4" max="4" width="25.33203125" customWidth="1"/>
    <col min="5" max="5" width="25" customWidth="1"/>
    <col min="6" max="6" width="3.6640625" customWidth="1"/>
    <col min="7" max="7" width="94.88671875" customWidth="1"/>
    <col min="8" max="8" width="6.109375" customWidth="1"/>
  </cols>
  <sheetData>
    <row r="1" spans="1:4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33.6" x14ac:dyDescent="0.65">
      <c r="A2" s="2"/>
      <c r="B2" s="160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6" spans="1:41" x14ac:dyDescent="0.3">
      <c r="B6" s="3"/>
      <c r="C6" s="3"/>
      <c r="D6" s="4" t="s">
        <v>1</v>
      </c>
      <c r="E6" s="3"/>
      <c r="F6" s="3"/>
      <c r="G6" s="3"/>
      <c r="H6" s="1"/>
    </row>
    <row r="7" spans="1:41" x14ac:dyDescent="0.3">
      <c r="B7" s="5"/>
      <c r="H7" s="6"/>
    </row>
    <row r="8" spans="1:41" x14ac:dyDescent="0.3">
      <c r="B8" s="5"/>
      <c r="D8" s="10" t="s">
        <v>2</v>
      </c>
      <c r="E8" s="11">
        <v>2022</v>
      </c>
      <c r="G8" s="12" t="s">
        <v>3</v>
      </c>
      <c r="H8" s="6"/>
    </row>
    <row r="9" spans="1:41" x14ac:dyDescent="0.3">
      <c r="B9" s="7"/>
      <c r="C9" s="8"/>
      <c r="D9" s="8"/>
      <c r="E9" s="8"/>
      <c r="F9" s="8"/>
      <c r="G9" s="8"/>
      <c r="H9" s="9"/>
    </row>
    <row r="12" spans="1:41" x14ac:dyDescent="0.3">
      <c r="B12" s="3"/>
      <c r="C12" s="3"/>
      <c r="D12" s="4" t="s">
        <v>39</v>
      </c>
      <c r="E12" s="3"/>
      <c r="F12" s="3"/>
      <c r="G12" s="3"/>
      <c r="H12" s="1"/>
    </row>
    <row r="13" spans="1:41" x14ac:dyDescent="0.3">
      <c r="B13" s="5"/>
      <c r="H13" s="6"/>
    </row>
    <row r="14" spans="1:41" ht="15.6" x14ac:dyDescent="0.3">
      <c r="B14" s="5"/>
      <c r="C14" s="44" t="s">
        <v>40</v>
      </c>
      <c r="H14" s="6"/>
    </row>
    <row r="15" spans="1:41" x14ac:dyDescent="0.3">
      <c r="B15" s="5"/>
      <c r="C15" s="10" t="s">
        <v>41</v>
      </c>
      <c r="E15" s="11" t="s">
        <v>42</v>
      </c>
      <c r="G15" s="175" t="s">
        <v>44</v>
      </c>
      <c r="H15" s="6"/>
    </row>
    <row r="16" spans="1:41" x14ac:dyDescent="0.3">
      <c r="B16" s="45"/>
      <c r="G16" s="175"/>
      <c r="H16" s="46"/>
    </row>
    <row r="17" spans="2:8" x14ac:dyDescent="0.3">
      <c r="B17" s="45"/>
      <c r="C17" s="10" t="s">
        <v>43</v>
      </c>
      <c r="E17" s="50">
        <v>20</v>
      </c>
      <c r="G17" s="175"/>
      <c r="H17" s="46"/>
    </row>
    <row r="18" spans="2:8" x14ac:dyDescent="0.3">
      <c r="B18" s="45"/>
      <c r="G18" s="51"/>
      <c r="H18" s="46"/>
    </row>
    <row r="19" spans="2:8" x14ac:dyDescent="0.3">
      <c r="B19" s="45"/>
      <c r="H19" s="46"/>
    </row>
    <row r="20" spans="2:8" x14ac:dyDescent="0.3">
      <c r="B20" s="45"/>
      <c r="D20" s="150" t="s">
        <v>115</v>
      </c>
      <c r="E20" s="150"/>
      <c r="H20" s="46"/>
    </row>
    <row r="21" spans="2:8" x14ac:dyDescent="0.3">
      <c r="B21" s="45"/>
      <c r="H21" s="46"/>
    </row>
    <row r="22" spans="2:8" x14ac:dyDescent="0.3">
      <c r="B22" s="45"/>
      <c r="D22" s="10" t="s">
        <v>116</v>
      </c>
      <c r="E22" s="11" t="s">
        <v>117</v>
      </c>
      <c r="G22" s="159" t="s">
        <v>118</v>
      </c>
      <c r="H22" s="46"/>
    </row>
    <row r="23" spans="2:8" x14ac:dyDescent="0.3">
      <c r="B23" s="45"/>
      <c r="G23" s="159" t="s">
        <v>119</v>
      </c>
      <c r="H23" s="46"/>
    </row>
    <row r="24" spans="2:8" x14ac:dyDescent="0.3">
      <c r="B24" s="45"/>
      <c r="G24" s="159" t="s">
        <v>120</v>
      </c>
      <c r="H24" s="46"/>
    </row>
    <row r="25" spans="2:8" x14ac:dyDescent="0.3">
      <c r="B25" s="47"/>
      <c r="C25" s="48"/>
      <c r="D25" s="48"/>
      <c r="E25" s="48"/>
      <c r="F25" s="48"/>
      <c r="G25" s="48"/>
      <c r="H25" s="49"/>
    </row>
  </sheetData>
  <mergeCells count="1">
    <mergeCell ref="G15:G17"/>
  </mergeCells>
  <conditionalFormatting sqref="E17">
    <cfRule type="expression" dxfId="34" priority="1">
      <formula>shift_late_income_status="inactive"</formula>
    </cfRule>
  </conditionalFormatting>
  <dataValidations count="2">
    <dataValidation type="list" allowBlank="1" showInputMessage="1" showErrorMessage="1" sqref="E15" xr:uid="{A0559B25-460E-4AEA-938F-1E1F7741BFD1}">
      <formula1>"Active, Inactive"</formula1>
    </dataValidation>
    <dataValidation type="list" allowBlank="1" showInputMessage="1" showErrorMessage="1" sqref="E22" xr:uid="{B4B53AFE-1493-4EDD-9488-6BD759F17386}">
      <formula1>"% allocated to savings, % not allocated to expenses"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3116-4984-4AFB-8987-06D270244865}">
  <sheetPr codeName="Sheet3"/>
  <dimension ref="A1:EN46"/>
  <sheetViews>
    <sheetView showGridLines="0" topLeftCell="C1" zoomScale="80" zoomScaleNormal="80" workbookViewId="0">
      <selection activeCell="E10" sqref="E10"/>
    </sheetView>
  </sheetViews>
  <sheetFormatPr defaultRowHeight="14.4" outlineLevelCol="3" x14ac:dyDescent="0.3"/>
  <cols>
    <col min="3" max="3" width="32.21875" customWidth="1"/>
    <col min="4" max="4" width="2.5546875" customWidth="1"/>
    <col min="5" max="16" width="10.33203125" customWidth="1" outlineLevel="3"/>
    <col min="17" max="17" width="8.88671875" outlineLevel="1"/>
    <col min="18" max="18" width="4" customWidth="1" outlineLevel="1"/>
    <col min="19" max="30" width="10.33203125" hidden="1" customWidth="1" outlineLevel="3"/>
    <col min="31" max="31" width="8.88671875" outlineLevel="1" collapsed="1"/>
    <col min="32" max="32" width="4" customWidth="1" outlineLevel="1"/>
    <col min="33" max="44" width="10.33203125" hidden="1" customWidth="1" outlineLevel="3"/>
    <col min="45" max="45" width="8.88671875" outlineLevel="1" collapsed="1"/>
    <col min="46" max="46" width="4" customWidth="1" outlineLevel="1"/>
    <col min="47" max="58" width="10.33203125" hidden="1" customWidth="1" outlineLevel="3"/>
    <col min="59" max="59" width="8.88671875" outlineLevel="1" collapsed="1"/>
    <col min="60" max="60" width="4" customWidth="1" outlineLevel="1"/>
    <col min="61" max="72" width="10.33203125" hidden="1" customWidth="1" outlineLevel="3"/>
    <col min="73" max="73" width="8.88671875" outlineLevel="1" collapsed="1"/>
    <col min="74" max="74" width="4" customWidth="1" outlineLevel="1"/>
    <col min="75" max="86" width="10.33203125" hidden="1" customWidth="1" outlineLevel="3"/>
    <col min="87" max="87" width="8.88671875" outlineLevel="1" collapsed="1"/>
    <col min="88" max="88" width="4" customWidth="1" outlineLevel="1"/>
    <col min="89" max="100" width="10.33203125" hidden="1" customWidth="1" outlineLevel="3"/>
    <col min="101" max="101" width="8.88671875" outlineLevel="1" collapsed="1"/>
    <col min="102" max="102" width="4" customWidth="1" outlineLevel="1"/>
    <col min="103" max="114" width="10.33203125" hidden="1" customWidth="1" outlineLevel="3"/>
    <col min="115" max="115" width="8.88671875" outlineLevel="1" collapsed="1"/>
    <col min="116" max="116" width="4" customWidth="1" outlineLevel="1"/>
    <col min="117" max="128" width="10.33203125" hidden="1" customWidth="1" outlineLevel="3"/>
    <col min="129" max="129" width="8.88671875" outlineLevel="1" collapsed="1"/>
    <col min="130" max="130" width="4" customWidth="1" outlineLevel="1"/>
    <col min="131" max="144" width="8.88671875" outlineLevel="1"/>
  </cols>
  <sheetData>
    <row r="1" spans="1:12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</row>
    <row r="2" spans="1:129" ht="25.8" x14ac:dyDescent="0.5">
      <c r="A2" s="1"/>
      <c r="B2" s="1"/>
      <c r="C2" s="13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</row>
    <row r="3" spans="1:12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</row>
    <row r="4" spans="1:129" ht="10.8" customHeight="1" x14ac:dyDescent="0.3"/>
    <row r="5" spans="1:129" ht="19.8" customHeight="1" x14ac:dyDescent="0.3">
      <c r="C5" s="14" t="s">
        <v>5</v>
      </c>
      <c r="E5" s="176">
        <v>2022</v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S5" s="176">
        <v>2023</v>
      </c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G5" s="176">
        <v>2024</v>
      </c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U5" s="176">
        <v>2025</v>
      </c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I5" s="176">
        <v>2026</v>
      </c>
      <c r="BJ5" s="176"/>
      <c r="BK5" s="176"/>
      <c r="BL5" s="176"/>
      <c r="BM5" s="176"/>
      <c r="BN5" s="176"/>
      <c r="BO5" s="176"/>
      <c r="BP5" s="176"/>
      <c r="BQ5" s="176"/>
      <c r="BR5" s="176"/>
      <c r="BS5" s="176"/>
      <c r="BT5" s="176"/>
      <c r="BU5" s="176"/>
      <c r="BW5" s="176">
        <v>2027</v>
      </c>
      <c r="BX5" s="176"/>
      <c r="BY5" s="176"/>
      <c r="BZ5" s="176"/>
      <c r="CA5" s="176"/>
      <c r="CB5" s="176"/>
      <c r="CC5" s="176"/>
      <c r="CD5" s="176"/>
      <c r="CE5" s="176"/>
      <c r="CF5" s="176"/>
      <c r="CG5" s="176"/>
      <c r="CH5" s="176"/>
      <c r="CI5" s="176"/>
      <c r="CK5" s="176">
        <v>2028</v>
      </c>
      <c r="CL5" s="176"/>
      <c r="CM5" s="176"/>
      <c r="CN5" s="176"/>
      <c r="CO5" s="176"/>
      <c r="CP5" s="176"/>
      <c r="CQ5" s="176"/>
      <c r="CR5" s="176"/>
      <c r="CS5" s="176"/>
      <c r="CT5" s="176"/>
      <c r="CU5" s="176"/>
      <c r="CV5" s="176"/>
      <c r="CW5" s="176"/>
      <c r="CY5" s="176">
        <v>2029</v>
      </c>
      <c r="CZ5" s="176"/>
      <c r="DA5" s="176"/>
      <c r="DB5" s="176"/>
      <c r="DC5" s="176"/>
      <c r="DD5" s="176"/>
      <c r="DE5" s="176"/>
      <c r="DF5" s="176"/>
      <c r="DG5" s="176"/>
      <c r="DH5" s="176"/>
      <c r="DI5" s="176"/>
      <c r="DJ5" s="176"/>
      <c r="DK5" s="176"/>
      <c r="DM5" s="176">
        <v>2030</v>
      </c>
      <c r="DN5" s="176"/>
      <c r="DO5" s="176"/>
      <c r="DP5" s="176"/>
      <c r="DQ5" s="176"/>
      <c r="DR5" s="176"/>
      <c r="DS5" s="176"/>
      <c r="DT5" s="176"/>
      <c r="DU5" s="176"/>
      <c r="DV5" s="176"/>
      <c r="DW5" s="176"/>
      <c r="DX5" s="176"/>
      <c r="DY5" s="176"/>
    </row>
    <row r="6" spans="1:129" x14ac:dyDescent="0.3">
      <c r="E6" s="29" t="str">
        <f ca="1">IF(E7=0,"Yes","Jan")</f>
        <v>Yes</v>
      </c>
      <c r="F6" s="29" t="str">
        <f ca="1">IF(F7=0, "Yes", "Feb")</f>
        <v>Yes</v>
      </c>
      <c r="G6" s="29" t="str">
        <f ca="1">IF(G7=0, "Yes", "Mar")</f>
        <v>Yes</v>
      </c>
      <c r="H6" s="29" t="str">
        <f ca="1">IF(H7=0, "Yes", "Apr")</f>
        <v>Yes</v>
      </c>
      <c r="I6" s="29" t="str">
        <f ca="1">IF(I7=0, "Yes", "May")</f>
        <v>Yes</v>
      </c>
      <c r="J6" s="29" t="str">
        <f ca="1">IF(J7=0, "Yes", "Jun")</f>
        <v>Yes</v>
      </c>
      <c r="K6" s="29" t="str">
        <f ca="1">IF(K7=0, "Yes", "Jul")</f>
        <v>Yes</v>
      </c>
      <c r="L6" s="29" t="str">
        <f ca="1">IF(L7=0, "Yes", "Aug")</f>
        <v>Yes</v>
      </c>
      <c r="M6" s="29" t="str">
        <f ca="1">IF(M7=0, "Yes", "Sep")</f>
        <v>Yes</v>
      </c>
      <c r="N6" s="29" t="str">
        <f ca="1">IF(N7=0, "Yes", "Oct")</f>
        <v>Yes</v>
      </c>
      <c r="O6" s="29" t="str">
        <f ca="1">IF(O7=0, "Yes", "Nov")</f>
        <v>Yes</v>
      </c>
      <c r="P6" s="29" t="str">
        <f ca="1">IF(P7=0, "Yes", "Dec")</f>
        <v>Yes</v>
      </c>
      <c r="Q6" s="29" t="str">
        <f ca="1">IF(Q7=0, "Yes", "Total")</f>
        <v>Yes</v>
      </c>
      <c r="S6" s="29" t="str">
        <f ca="1">IF(T7=0, "Yes", "Jan")</f>
        <v>Yes</v>
      </c>
      <c r="T6" s="29" t="str">
        <f ca="1">IF(T7&gt;=0, "Yes", "Feb")</f>
        <v>Yes</v>
      </c>
      <c r="U6" s="29" t="str">
        <f ca="1">IF(U7=0, "Yes", "Mar")</f>
        <v>Yes</v>
      </c>
      <c r="V6" s="29" t="str">
        <f ca="1">IF(V7=0, "Yes", "Apr")</f>
        <v>Yes</v>
      </c>
      <c r="W6" s="29" t="str">
        <f ca="1">IF(W7=0, "Yes", "May")</f>
        <v>Yes</v>
      </c>
      <c r="X6" s="29" t="str">
        <f ca="1">IF(X7=0, "Yes", "Jun")</f>
        <v>Yes</v>
      </c>
      <c r="Y6" s="29" t="str">
        <f ca="1">IF(Y7=0, "Yes", "Jul")</f>
        <v>Yes</v>
      </c>
      <c r="Z6" s="29" t="str">
        <f ca="1">IF(Z7=0, "Yes", "Aug")</f>
        <v>Yes</v>
      </c>
      <c r="AA6" s="29" t="str">
        <f ca="1">IF(AA7=0, "Yes", "Sep")</f>
        <v>Yes</v>
      </c>
      <c r="AB6" s="29" t="str">
        <f ca="1">IF(AB7=0, "Yes", "Oct")</f>
        <v>Yes</v>
      </c>
      <c r="AC6" s="29" t="str">
        <f ca="1">IF(AC7=0, "Yes", "Nov")</f>
        <v>Yes</v>
      </c>
      <c r="AD6" s="29" t="str">
        <f ca="1">IF(AD7=0, "Yes", "Dec")</f>
        <v>Yes</v>
      </c>
      <c r="AE6" s="29" t="str">
        <f ca="1">IF(AE7=0, "Yes", "Total")</f>
        <v>Yes</v>
      </c>
      <c r="AG6" s="29" t="str">
        <f ca="1">IF(AH7=0, "Yes", "Jan")</f>
        <v>Yes</v>
      </c>
      <c r="AH6" s="29" t="str">
        <f ca="1">IF(AH7&gt;=0, "Yes", "Feb")</f>
        <v>Yes</v>
      </c>
      <c r="AI6" s="29" t="str">
        <f ca="1">IF(AI7=0, "Yes", "Mar")</f>
        <v>Yes</v>
      </c>
      <c r="AJ6" s="29" t="str">
        <f ca="1">IF(AJ7=0, "Yes", "Apr")</f>
        <v>Yes</v>
      </c>
      <c r="AK6" s="29" t="str">
        <f ca="1">IF(AK7=0, "Yes", "May")</f>
        <v>Yes</v>
      </c>
      <c r="AL6" s="29" t="str">
        <f ca="1">IF(AL7=0, "Yes", "Jun")</f>
        <v>Yes</v>
      </c>
      <c r="AM6" s="29" t="str">
        <f ca="1">IF(AM7=0, "Yes", "Jul")</f>
        <v>Yes</v>
      </c>
      <c r="AN6" s="29" t="str">
        <f ca="1">IF(AN7=0, "Yes", "Aug")</f>
        <v>Yes</v>
      </c>
      <c r="AO6" s="29" t="str">
        <f ca="1">IF(AO7=0, "Yes", "Sep")</f>
        <v>Yes</v>
      </c>
      <c r="AP6" s="29" t="str">
        <f ca="1">IF(AP7=0, "Yes", "Oct")</f>
        <v>Yes</v>
      </c>
      <c r="AQ6" s="29" t="str">
        <f ca="1">IF(AQ7=0, "Yes", "Nov")</f>
        <v>Yes</v>
      </c>
      <c r="AR6" s="29" t="str">
        <f ca="1">IF(AR7=0, "Yes", "Dec")</f>
        <v>Yes</v>
      </c>
      <c r="AS6" s="29" t="str">
        <f ca="1">IF(AS7=0, "Yes", "Total")</f>
        <v>Yes</v>
      </c>
      <c r="AU6" s="29" t="str">
        <f ca="1">IF(AV7=0, "Yes", "Jan")</f>
        <v>Yes</v>
      </c>
      <c r="AV6" s="29" t="str">
        <f ca="1">IF(AV7&gt;=0, "Yes", "Feb")</f>
        <v>Yes</v>
      </c>
      <c r="AW6" s="29" t="str">
        <f ca="1">IF(AW7=0, "Yes", "Mar")</f>
        <v>Yes</v>
      </c>
      <c r="AX6" s="29" t="str">
        <f ca="1">IF(AX7=0, "Yes", "Apr")</f>
        <v>Yes</v>
      </c>
      <c r="AY6" s="29" t="str">
        <f ca="1">IF(AY7=0, "Yes", "May")</f>
        <v>Yes</v>
      </c>
      <c r="AZ6" s="29" t="str">
        <f ca="1">IF(AZ7=0, "Yes", "Jun")</f>
        <v>Yes</v>
      </c>
      <c r="BA6" s="29" t="str">
        <f ca="1">IF(BA7=0, "Yes", "Jul")</f>
        <v>Yes</v>
      </c>
      <c r="BB6" s="29" t="str">
        <f ca="1">IF(BB7=0, "Yes", "Aug")</f>
        <v>Yes</v>
      </c>
      <c r="BC6" s="29" t="str">
        <f ca="1">IF(BC7=0, "Yes", "Sep")</f>
        <v>Yes</v>
      </c>
      <c r="BD6" s="29" t="str">
        <f ca="1">IF(BD7=0, "Yes", "Oct")</f>
        <v>Yes</v>
      </c>
      <c r="BE6" s="29" t="str">
        <f ca="1">IF(BE7=0, "Yes", "Nov")</f>
        <v>Yes</v>
      </c>
      <c r="BF6" s="29" t="str">
        <f ca="1">IF(BF7=0, "Yes", "Dec")</f>
        <v>Yes</v>
      </c>
      <c r="BG6" s="29" t="str">
        <f ca="1">IF(BG7=0, "Yes", "Total")</f>
        <v>Yes</v>
      </c>
      <c r="BI6" s="29" t="str">
        <f ca="1">IF(BJ7=0, "Yes", "Jan")</f>
        <v>Yes</v>
      </c>
      <c r="BJ6" s="29" t="str">
        <f ca="1">IF(BJ7&gt;=0, "Yes", "Feb")</f>
        <v>Yes</v>
      </c>
      <c r="BK6" s="29" t="str">
        <f ca="1">IF(BK7=0, "Yes", "Mar")</f>
        <v>Yes</v>
      </c>
      <c r="BL6" s="29" t="str">
        <f ca="1">IF(BL7=0, "Yes", "Apr")</f>
        <v>Yes</v>
      </c>
      <c r="BM6" s="29" t="str">
        <f ca="1">IF(BM7=0, "Yes", "May")</f>
        <v>Yes</v>
      </c>
      <c r="BN6" s="29" t="str">
        <f ca="1">IF(BN7=0, "Yes", "Jun")</f>
        <v>Yes</v>
      </c>
      <c r="BO6" s="29" t="str">
        <f ca="1">IF(BO7=0, "Yes", "Jul")</f>
        <v>Yes</v>
      </c>
      <c r="BP6" s="29" t="str">
        <f ca="1">IF(BP7=0, "Yes", "Aug")</f>
        <v>Yes</v>
      </c>
      <c r="BQ6" s="29" t="str">
        <f ca="1">IF(BQ7=0, "Yes", "Sep")</f>
        <v>Yes</v>
      </c>
      <c r="BR6" s="29" t="str">
        <f ca="1">IF(BR7=0, "Yes", "Oct")</f>
        <v>Yes</v>
      </c>
      <c r="BS6" s="29" t="str">
        <f ca="1">IF(BS7=0, "Yes", "Nov")</f>
        <v>Yes</v>
      </c>
      <c r="BT6" s="29" t="str">
        <f ca="1">IF(BT7=0, "Yes", "Dec")</f>
        <v>Yes</v>
      </c>
      <c r="BU6" s="29" t="str">
        <f ca="1">IF(BU7=0, "Yes", "Total")</f>
        <v>Yes</v>
      </c>
      <c r="BW6" s="29" t="str">
        <f ca="1">IF(BX7=0, "Yes", "Jan")</f>
        <v>Yes</v>
      </c>
      <c r="BX6" s="29" t="str">
        <f ca="1">IF(BX7&gt;=0, "Yes", "Feb")</f>
        <v>Yes</v>
      </c>
      <c r="BY6" s="29" t="str">
        <f ca="1">IF(BY7=0, "Yes", "Mar")</f>
        <v>Yes</v>
      </c>
      <c r="BZ6" s="29" t="str">
        <f ca="1">IF(BZ7=0, "Yes", "Apr")</f>
        <v>Yes</v>
      </c>
      <c r="CA6" s="29" t="str">
        <f ca="1">IF(CA7=0, "Yes", "May")</f>
        <v>Yes</v>
      </c>
      <c r="CB6" s="29" t="str">
        <f ca="1">IF(CB7=0, "Yes", "Jun")</f>
        <v>Yes</v>
      </c>
      <c r="CC6" s="29" t="str">
        <f ca="1">IF(CC7=0, "Yes", "Jul")</f>
        <v>Yes</v>
      </c>
      <c r="CD6" s="29" t="str">
        <f ca="1">IF(CD7=0, "Yes", "Aug")</f>
        <v>Yes</v>
      </c>
      <c r="CE6" s="29" t="str">
        <f ca="1">IF(CE7=0, "Yes", "Sep")</f>
        <v>Yes</v>
      </c>
      <c r="CF6" s="29" t="str">
        <f ca="1">IF(CF7=0, "Yes", "Oct")</f>
        <v>Yes</v>
      </c>
      <c r="CG6" s="29" t="str">
        <f ca="1">IF(CG7=0, "Yes", "Nov")</f>
        <v>Yes</v>
      </c>
      <c r="CH6" s="29" t="str">
        <f ca="1">IF(CH7=0, "Yes", "Dec")</f>
        <v>Yes</v>
      </c>
      <c r="CI6" s="29" t="str">
        <f ca="1">IF(CI7=0, "Yes", "Total")</f>
        <v>Yes</v>
      </c>
      <c r="CK6" s="29" t="str">
        <f ca="1">IF(CL7=0, "Yes", "Jan")</f>
        <v>Yes</v>
      </c>
      <c r="CL6" s="29" t="str">
        <f ca="1">IF(CL7&gt;=0, "Yes", "Feb")</f>
        <v>Yes</v>
      </c>
      <c r="CM6" s="29" t="str">
        <f ca="1">IF(CM7=0, "Yes", "Mar")</f>
        <v>Yes</v>
      </c>
      <c r="CN6" s="29" t="str">
        <f ca="1">IF(CN7=0, "Yes", "Apr")</f>
        <v>Yes</v>
      </c>
      <c r="CO6" s="29" t="str">
        <f ca="1">IF(CO7=0, "Yes", "May")</f>
        <v>Yes</v>
      </c>
      <c r="CP6" s="29" t="str">
        <f ca="1">IF(CP7=0, "Yes", "Jun")</f>
        <v>Yes</v>
      </c>
      <c r="CQ6" s="29" t="str">
        <f ca="1">IF(CQ7=0, "Yes", "Jul")</f>
        <v>Yes</v>
      </c>
      <c r="CR6" s="29" t="str">
        <f ca="1">IF(CR7=0, "Yes", "Aug")</f>
        <v>Yes</v>
      </c>
      <c r="CS6" s="29" t="str">
        <f ca="1">IF(CS7=0, "Yes", "Sep")</f>
        <v>Yes</v>
      </c>
      <c r="CT6" s="29" t="str">
        <f ca="1">IF(CT7=0, "Yes", "Oct")</f>
        <v>Yes</v>
      </c>
      <c r="CU6" s="29" t="str">
        <f ca="1">IF(CU7=0, "Yes", "Nov")</f>
        <v>Yes</v>
      </c>
      <c r="CV6" s="29" t="str">
        <f ca="1">IF(CV7=0, "Yes", "Dec")</f>
        <v>Yes</v>
      </c>
      <c r="CW6" s="29" t="str">
        <f ca="1">IF(CW7=0, "Yes", "Total")</f>
        <v>Yes</v>
      </c>
      <c r="CY6" s="29" t="str">
        <f ca="1">IF(CZ7=0, "Yes", "Jan")</f>
        <v>Yes</v>
      </c>
      <c r="CZ6" s="29" t="str">
        <f ca="1">IF(CZ7&gt;=0, "Yes", "Feb")</f>
        <v>Yes</v>
      </c>
      <c r="DA6" s="29" t="str">
        <f ca="1">IF(DA7=0, "Yes", "Mar")</f>
        <v>Yes</v>
      </c>
      <c r="DB6" s="29" t="str">
        <f ca="1">IF(DB7=0, "Yes", "Apr")</f>
        <v>Yes</v>
      </c>
      <c r="DC6" s="29" t="str">
        <f ca="1">IF(DC7=0, "Yes", "May")</f>
        <v>Yes</v>
      </c>
      <c r="DD6" s="29" t="str">
        <f ca="1">IF(DD7=0, "Yes", "Jun")</f>
        <v>Yes</v>
      </c>
      <c r="DE6" s="29" t="str">
        <f ca="1">IF(DE7=0, "Yes", "Jul")</f>
        <v>Yes</v>
      </c>
      <c r="DF6" s="29" t="str">
        <f ca="1">IF(DF7=0, "Yes", "Aug")</f>
        <v>Yes</v>
      </c>
      <c r="DG6" s="29" t="str">
        <f ca="1">IF(DG7=0, "Yes", "Sep")</f>
        <v>Yes</v>
      </c>
      <c r="DH6" s="29" t="str">
        <f ca="1">IF(DH7=0, "Yes", "Oct")</f>
        <v>Yes</v>
      </c>
      <c r="DI6" s="29" t="str">
        <f ca="1">IF(DI7=0, "Yes", "Nov")</f>
        <v>Yes</v>
      </c>
      <c r="DJ6" s="29" t="str">
        <f ca="1">IF(DJ7=0, "Yes", "Dec")</f>
        <v>Yes</v>
      </c>
      <c r="DK6" s="29" t="str">
        <f ca="1">IF(DK7=0, "Yes", "Total")</f>
        <v>Yes</v>
      </c>
      <c r="DM6" s="29" t="str">
        <f ca="1">IF(DN7=0, "Yes", "Jan")</f>
        <v>Yes</v>
      </c>
      <c r="DN6" s="29" t="str">
        <f ca="1">IF(DN7&gt;=0, "Yes", "Feb")</f>
        <v>Yes</v>
      </c>
      <c r="DO6" s="29" t="str">
        <f ca="1">IF(DO7=0, "Yes", "Mar")</f>
        <v>Yes</v>
      </c>
      <c r="DP6" s="29" t="str">
        <f ca="1">IF(DP7=0, "Yes", "Apr")</f>
        <v>Yes</v>
      </c>
      <c r="DQ6" s="29" t="str">
        <f ca="1">IF(DQ7=0, "Yes", "May")</f>
        <v>Yes</v>
      </c>
      <c r="DR6" s="29" t="str">
        <f ca="1">IF(DR7=0, "Yes", "Jun")</f>
        <v>Yes</v>
      </c>
      <c r="DS6" s="29" t="str">
        <f ca="1">IF(DS7=0, "Yes", "Jul")</f>
        <v>Yes</v>
      </c>
      <c r="DT6" s="29" t="str">
        <f ca="1">IF(DT7=0, "Yes", "Aug")</f>
        <v>Yes</v>
      </c>
      <c r="DU6" s="29" t="str">
        <f ca="1">IF(DU7=0, "Yes", "Sep")</f>
        <v>Yes</v>
      </c>
      <c r="DV6" s="29" t="str">
        <f ca="1">IF(DV7=0, "Yes", "Oct")</f>
        <v>Yes</v>
      </c>
      <c r="DW6" s="29" t="str">
        <f ca="1">IF(DW7=0, "Yes", "Nov")</f>
        <v>Yes</v>
      </c>
      <c r="DX6" s="29" t="str">
        <f ca="1">IF(DX7=0, "Yes", "Dec")</f>
        <v>Yes</v>
      </c>
      <c r="DY6" s="29" t="str">
        <f ca="1">IF(DY7=0, "Yes", "Total")</f>
        <v>Yes</v>
      </c>
    </row>
    <row r="7" spans="1:129" x14ac:dyDescent="0.3">
      <c r="C7" s="27" t="s">
        <v>22</v>
      </c>
      <c r="E7" s="28">
        <f t="shared" ref="E7:Q7" ca="1" si="0">E20-(E33+E46)</f>
        <v>0</v>
      </c>
      <c r="F7" s="28">
        <f t="shared" ca="1" si="0"/>
        <v>0</v>
      </c>
      <c r="G7" s="28">
        <f t="shared" ca="1" si="0"/>
        <v>0</v>
      </c>
      <c r="H7" s="28">
        <f t="shared" ca="1" si="0"/>
        <v>0</v>
      </c>
      <c r="I7" s="28">
        <f t="shared" ca="1" si="0"/>
        <v>0</v>
      </c>
      <c r="J7" s="28">
        <f t="shared" ca="1" si="0"/>
        <v>0</v>
      </c>
      <c r="K7" s="28">
        <f t="shared" ca="1" si="0"/>
        <v>0</v>
      </c>
      <c r="L7" s="28">
        <f t="shared" ca="1" si="0"/>
        <v>0</v>
      </c>
      <c r="M7" s="28">
        <f t="shared" ca="1" si="0"/>
        <v>0</v>
      </c>
      <c r="N7" s="28">
        <f t="shared" ca="1" si="0"/>
        <v>0</v>
      </c>
      <c r="O7" s="28">
        <f t="shared" ca="1" si="0"/>
        <v>0</v>
      </c>
      <c r="P7" s="28">
        <f t="shared" ca="1" si="0"/>
        <v>0</v>
      </c>
      <c r="Q7" s="28">
        <f t="shared" ca="1" si="0"/>
        <v>0</v>
      </c>
      <c r="S7" s="28">
        <f t="shared" ref="S7:AE7" ca="1" si="1">S20-(S33+S46)</f>
        <v>0</v>
      </c>
      <c r="T7" s="28">
        <f t="shared" ca="1" si="1"/>
        <v>0</v>
      </c>
      <c r="U7" s="28">
        <f t="shared" ca="1" si="1"/>
        <v>0</v>
      </c>
      <c r="V7" s="28">
        <f t="shared" ca="1" si="1"/>
        <v>0</v>
      </c>
      <c r="W7" s="28">
        <f t="shared" ca="1" si="1"/>
        <v>0</v>
      </c>
      <c r="X7" s="28">
        <f t="shared" ca="1" si="1"/>
        <v>0</v>
      </c>
      <c r="Y7" s="28">
        <f t="shared" ca="1" si="1"/>
        <v>0</v>
      </c>
      <c r="Z7" s="28">
        <f t="shared" ca="1" si="1"/>
        <v>0</v>
      </c>
      <c r="AA7" s="28">
        <f t="shared" ca="1" si="1"/>
        <v>0</v>
      </c>
      <c r="AB7" s="28">
        <f t="shared" ca="1" si="1"/>
        <v>0</v>
      </c>
      <c r="AC7" s="28">
        <f t="shared" ca="1" si="1"/>
        <v>0</v>
      </c>
      <c r="AD7" s="28">
        <f t="shared" ca="1" si="1"/>
        <v>0</v>
      </c>
      <c r="AE7" s="28">
        <f t="shared" ca="1" si="1"/>
        <v>0</v>
      </c>
      <c r="AG7" s="28">
        <f t="shared" ref="AG7:AS7" ca="1" si="2">AG20-(AG33+AG46)</f>
        <v>0</v>
      </c>
      <c r="AH7" s="28">
        <f t="shared" ca="1" si="2"/>
        <v>0</v>
      </c>
      <c r="AI7" s="28">
        <f t="shared" ca="1" si="2"/>
        <v>0</v>
      </c>
      <c r="AJ7" s="28">
        <f t="shared" ca="1" si="2"/>
        <v>0</v>
      </c>
      <c r="AK7" s="28">
        <f t="shared" ca="1" si="2"/>
        <v>0</v>
      </c>
      <c r="AL7" s="28">
        <f t="shared" ca="1" si="2"/>
        <v>0</v>
      </c>
      <c r="AM7" s="28">
        <f t="shared" ca="1" si="2"/>
        <v>0</v>
      </c>
      <c r="AN7" s="28">
        <f t="shared" ca="1" si="2"/>
        <v>0</v>
      </c>
      <c r="AO7" s="28">
        <f t="shared" ca="1" si="2"/>
        <v>0</v>
      </c>
      <c r="AP7" s="28">
        <f t="shared" ca="1" si="2"/>
        <v>0</v>
      </c>
      <c r="AQ7" s="28">
        <f t="shared" ca="1" si="2"/>
        <v>0</v>
      </c>
      <c r="AR7" s="28">
        <f t="shared" ca="1" si="2"/>
        <v>0</v>
      </c>
      <c r="AS7" s="28">
        <f t="shared" ca="1" si="2"/>
        <v>0</v>
      </c>
      <c r="AU7" s="28">
        <f t="shared" ref="AU7:BG7" ca="1" si="3">AU20-(AU33+AU46)</f>
        <v>0</v>
      </c>
      <c r="AV7" s="28">
        <f t="shared" ca="1" si="3"/>
        <v>0</v>
      </c>
      <c r="AW7" s="28">
        <f t="shared" ca="1" si="3"/>
        <v>0</v>
      </c>
      <c r="AX7" s="28">
        <f t="shared" ca="1" si="3"/>
        <v>0</v>
      </c>
      <c r="AY7" s="28">
        <f t="shared" ca="1" si="3"/>
        <v>0</v>
      </c>
      <c r="AZ7" s="28">
        <f t="shared" ca="1" si="3"/>
        <v>0</v>
      </c>
      <c r="BA7" s="28">
        <f t="shared" ca="1" si="3"/>
        <v>0</v>
      </c>
      <c r="BB7" s="28">
        <f t="shared" ca="1" si="3"/>
        <v>0</v>
      </c>
      <c r="BC7" s="28">
        <f t="shared" ca="1" si="3"/>
        <v>0</v>
      </c>
      <c r="BD7" s="28">
        <f t="shared" ca="1" si="3"/>
        <v>0</v>
      </c>
      <c r="BE7" s="28">
        <f t="shared" ca="1" si="3"/>
        <v>0</v>
      </c>
      <c r="BF7" s="28">
        <f t="shared" ca="1" si="3"/>
        <v>0</v>
      </c>
      <c r="BG7" s="28">
        <f t="shared" ca="1" si="3"/>
        <v>0</v>
      </c>
      <c r="BI7" s="28">
        <f t="shared" ref="BI7:BU7" ca="1" si="4">BI20-(BI33+BI46)</f>
        <v>0</v>
      </c>
      <c r="BJ7" s="28">
        <f t="shared" ca="1" si="4"/>
        <v>0</v>
      </c>
      <c r="BK7" s="28">
        <f t="shared" ca="1" si="4"/>
        <v>0</v>
      </c>
      <c r="BL7" s="28">
        <f t="shared" ca="1" si="4"/>
        <v>0</v>
      </c>
      <c r="BM7" s="28">
        <f t="shared" ca="1" si="4"/>
        <v>0</v>
      </c>
      <c r="BN7" s="28">
        <f t="shared" ca="1" si="4"/>
        <v>0</v>
      </c>
      <c r="BO7" s="28">
        <f t="shared" ca="1" si="4"/>
        <v>0</v>
      </c>
      <c r="BP7" s="28">
        <f t="shared" ca="1" si="4"/>
        <v>0</v>
      </c>
      <c r="BQ7" s="28">
        <f t="shared" ca="1" si="4"/>
        <v>0</v>
      </c>
      <c r="BR7" s="28">
        <f t="shared" ca="1" si="4"/>
        <v>0</v>
      </c>
      <c r="BS7" s="28">
        <f t="shared" ca="1" si="4"/>
        <v>0</v>
      </c>
      <c r="BT7" s="28">
        <f t="shared" ca="1" si="4"/>
        <v>0</v>
      </c>
      <c r="BU7" s="28">
        <f t="shared" ca="1" si="4"/>
        <v>0</v>
      </c>
      <c r="BW7" s="28">
        <f t="shared" ref="BW7:CI7" ca="1" si="5">BW20-(BW33+BW46)</f>
        <v>0</v>
      </c>
      <c r="BX7" s="28">
        <f t="shared" ca="1" si="5"/>
        <v>0</v>
      </c>
      <c r="BY7" s="28">
        <f t="shared" ca="1" si="5"/>
        <v>0</v>
      </c>
      <c r="BZ7" s="28">
        <f t="shared" ca="1" si="5"/>
        <v>0</v>
      </c>
      <c r="CA7" s="28">
        <f t="shared" ca="1" si="5"/>
        <v>0</v>
      </c>
      <c r="CB7" s="28">
        <f t="shared" ca="1" si="5"/>
        <v>0</v>
      </c>
      <c r="CC7" s="28">
        <f t="shared" ca="1" si="5"/>
        <v>0</v>
      </c>
      <c r="CD7" s="28">
        <f t="shared" ca="1" si="5"/>
        <v>0</v>
      </c>
      <c r="CE7" s="28">
        <f t="shared" ca="1" si="5"/>
        <v>0</v>
      </c>
      <c r="CF7" s="28">
        <f t="shared" ca="1" si="5"/>
        <v>0</v>
      </c>
      <c r="CG7" s="28">
        <f t="shared" ca="1" si="5"/>
        <v>0</v>
      </c>
      <c r="CH7" s="28">
        <f t="shared" ca="1" si="5"/>
        <v>0</v>
      </c>
      <c r="CI7" s="28">
        <f t="shared" ca="1" si="5"/>
        <v>0</v>
      </c>
      <c r="CK7" s="28">
        <f t="shared" ref="CK7:CW7" ca="1" si="6">CK20-(CK33+CK46)</f>
        <v>0</v>
      </c>
      <c r="CL7" s="28">
        <f t="shared" ca="1" si="6"/>
        <v>0</v>
      </c>
      <c r="CM7" s="28">
        <f t="shared" ca="1" si="6"/>
        <v>0</v>
      </c>
      <c r="CN7" s="28">
        <f t="shared" ca="1" si="6"/>
        <v>0</v>
      </c>
      <c r="CO7" s="28">
        <f t="shared" ca="1" si="6"/>
        <v>0</v>
      </c>
      <c r="CP7" s="28">
        <f t="shared" ca="1" si="6"/>
        <v>0</v>
      </c>
      <c r="CQ7" s="28">
        <f t="shared" ca="1" si="6"/>
        <v>0</v>
      </c>
      <c r="CR7" s="28">
        <f t="shared" ca="1" si="6"/>
        <v>0</v>
      </c>
      <c r="CS7" s="28">
        <f t="shared" ca="1" si="6"/>
        <v>0</v>
      </c>
      <c r="CT7" s="28">
        <f t="shared" ca="1" si="6"/>
        <v>0</v>
      </c>
      <c r="CU7" s="28">
        <f t="shared" ca="1" si="6"/>
        <v>0</v>
      </c>
      <c r="CV7" s="28">
        <f t="shared" ca="1" si="6"/>
        <v>0</v>
      </c>
      <c r="CW7" s="28">
        <f t="shared" ca="1" si="6"/>
        <v>0</v>
      </c>
      <c r="CY7" s="28">
        <f t="shared" ref="CY7:DK7" ca="1" si="7">CY20-(CY33+CY46)</f>
        <v>0</v>
      </c>
      <c r="CZ7" s="28">
        <f t="shared" ca="1" si="7"/>
        <v>0</v>
      </c>
      <c r="DA7" s="28">
        <f t="shared" ca="1" si="7"/>
        <v>0</v>
      </c>
      <c r="DB7" s="28">
        <f t="shared" ca="1" si="7"/>
        <v>0</v>
      </c>
      <c r="DC7" s="28">
        <f t="shared" ca="1" si="7"/>
        <v>0</v>
      </c>
      <c r="DD7" s="28">
        <f t="shared" ca="1" si="7"/>
        <v>0</v>
      </c>
      <c r="DE7" s="28">
        <f t="shared" ca="1" si="7"/>
        <v>0</v>
      </c>
      <c r="DF7" s="28">
        <f t="shared" ca="1" si="7"/>
        <v>0</v>
      </c>
      <c r="DG7" s="28">
        <f t="shared" ca="1" si="7"/>
        <v>0</v>
      </c>
      <c r="DH7" s="28">
        <f t="shared" ca="1" si="7"/>
        <v>0</v>
      </c>
      <c r="DI7" s="28">
        <f t="shared" ca="1" si="7"/>
        <v>0</v>
      </c>
      <c r="DJ7" s="28">
        <f t="shared" ca="1" si="7"/>
        <v>0</v>
      </c>
      <c r="DK7" s="28">
        <f t="shared" ca="1" si="7"/>
        <v>0</v>
      </c>
      <c r="DM7" s="28">
        <f t="shared" ref="DM7:DY7" ca="1" si="8">DM20-(DM33+DM46)</f>
        <v>0</v>
      </c>
      <c r="DN7" s="28">
        <f t="shared" ca="1" si="8"/>
        <v>0</v>
      </c>
      <c r="DO7" s="28">
        <f t="shared" ca="1" si="8"/>
        <v>0</v>
      </c>
      <c r="DP7" s="28">
        <f t="shared" ca="1" si="8"/>
        <v>0</v>
      </c>
      <c r="DQ7" s="28">
        <f t="shared" ca="1" si="8"/>
        <v>0</v>
      </c>
      <c r="DR7" s="28">
        <f t="shared" ca="1" si="8"/>
        <v>0</v>
      </c>
      <c r="DS7" s="28">
        <f t="shared" ca="1" si="8"/>
        <v>0</v>
      </c>
      <c r="DT7" s="28">
        <f t="shared" ca="1" si="8"/>
        <v>0</v>
      </c>
      <c r="DU7" s="28">
        <f t="shared" ca="1" si="8"/>
        <v>0</v>
      </c>
      <c r="DV7" s="28">
        <f t="shared" ca="1" si="8"/>
        <v>0</v>
      </c>
      <c r="DW7" s="28">
        <f t="shared" ca="1" si="8"/>
        <v>0</v>
      </c>
      <c r="DX7" s="28">
        <f t="shared" ca="1" si="8"/>
        <v>0</v>
      </c>
      <c r="DY7" s="28">
        <f t="shared" ca="1" si="8"/>
        <v>0</v>
      </c>
    </row>
    <row r="9" spans="1:129" x14ac:dyDescent="0.3">
      <c r="C9" s="15" t="s">
        <v>6</v>
      </c>
      <c r="E9" s="18">
        <f>DATE(E$5,1,1)</f>
        <v>44562</v>
      </c>
      <c r="F9" s="18">
        <f>DATE(E$5,2,1)</f>
        <v>44593</v>
      </c>
      <c r="G9" s="18">
        <f>DATE(E$5,3,1)</f>
        <v>44621</v>
      </c>
      <c r="H9" s="18">
        <f>DATE(E$5,4,1)</f>
        <v>44652</v>
      </c>
      <c r="I9" s="18">
        <f>DATE(E$5,5,1)</f>
        <v>44682</v>
      </c>
      <c r="J9" s="18">
        <f>DATE(E$5,6,1)</f>
        <v>44713</v>
      </c>
      <c r="K9" s="18">
        <f>DATE(E$5,7,1)</f>
        <v>44743</v>
      </c>
      <c r="L9" s="18">
        <f>DATE(E$5,8,1)</f>
        <v>44774</v>
      </c>
      <c r="M9" s="18">
        <f>DATE(E$5,9,1)</f>
        <v>44805</v>
      </c>
      <c r="N9" s="18">
        <f>DATE(E$5,10,1)</f>
        <v>44835</v>
      </c>
      <c r="O9" s="18">
        <f>DATE(E$5,11,1)</f>
        <v>44866</v>
      </c>
      <c r="P9" s="18">
        <f>DATE(E$5,12,1)</f>
        <v>44896</v>
      </c>
      <c r="Q9" s="17">
        <f>E5</f>
        <v>2022</v>
      </c>
      <c r="S9" s="18">
        <f>DATE(S$5,1,1)</f>
        <v>44927</v>
      </c>
      <c r="T9" s="18">
        <f>DATE(S$5,2,1)</f>
        <v>44958</v>
      </c>
      <c r="U9" s="18">
        <f>DATE(S$5,3,1)</f>
        <v>44986</v>
      </c>
      <c r="V9" s="18">
        <f>DATE(S$5,4,1)</f>
        <v>45017</v>
      </c>
      <c r="W9" s="18">
        <f>DATE(S$5,5,1)</f>
        <v>45047</v>
      </c>
      <c r="X9" s="18">
        <f>DATE(S$5,6,1)</f>
        <v>45078</v>
      </c>
      <c r="Y9" s="18">
        <f>DATE(S$5,7,1)</f>
        <v>45108</v>
      </c>
      <c r="Z9" s="18">
        <f>DATE(S$5,8,1)</f>
        <v>45139</v>
      </c>
      <c r="AA9" s="18">
        <f>DATE(S$5,9,1)</f>
        <v>45170</v>
      </c>
      <c r="AB9" s="18">
        <f>DATE(S$5,10,1)</f>
        <v>45200</v>
      </c>
      <c r="AC9" s="18">
        <f>DATE(S$5,11,1)</f>
        <v>45231</v>
      </c>
      <c r="AD9" s="18">
        <f>DATE(S$5,12,1)</f>
        <v>45261</v>
      </c>
      <c r="AE9" s="17">
        <f>Q9+1</f>
        <v>2023</v>
      </c>
      <c r="AG9" s="18">
        <f>DATE(AG$5,1,1)</f>
        <v>45292</v>
      </c>
      <c r="AH9" s="18">
        <f>DATE(AG$5,2,1)</f>
        <v>45323</v>
      </c>
      <c r="AI9" s="18">
        <f>DATE(AG$5,3,1)</f>
        <v>45352</v>
      </c>
      <c r="AJ9" s="18">
        <f>DATE(AG$5,4,1)</f>
        <v>45383</v>
      </c>
      <c r="AK9" s="18">
        <f>DATE(AG$5,5,1)</f>
        <v>45413</v>
      </c>
      <c r="AL9" s="18">
        <f>DATE(AG$5,6,1)</f>
        <v>45444</v>
      </c>
      <c r="AM9" s="18">
        <f>DATE(AG$5,7,1)</f>
        <v>45474</v>
      </c>
      <c r="AN9" s="18">
        <f>DATE(AG$5,8,1)</f>
        <v>45505</v>
      </c>
      <c r="AO9" s="18">
        <f>DATE(AG$5,9,1)</f>
        <v>45536</v>
      </c>
      <c r="AP9" s="18">
        <f>DATE(AG$5,10,1)</f>
        <v>45566</v>
      </c>
      <c r="AQ9" s="18">
        <f>DATE(AG$5,11,1)</f>
        <v>45597</v>
      </c>
      <c r="AR9" s="18">
        <f>DATE(AG$5,12,1)</f>
        <v>45627</v>
      </c>
      <c r="AS9" s="17">
        <f>AE9+1</f>
        <v>2024</v>
      </c>
      <c r="AU9" s="18">
        <f>DATE(AU$5,1,1)</f>
        <v>45658</v>
      </c>
      <c r="AV9" s="18">
        <f>DATE(AU$5,2,1)</f>
        <v>45689</v>
      </c>
      <c r="AW9" s="18">
        <f>DATE(AU$5,3,1)</f>
        <v>45717</v>
      </c>
      <c r="AX9" s="18">
        <f>DATE(AU$5,4,1)</f>
        <v>45748</v>
      </c>
      <c r="AY9" s="18">
        <f>DATE(AU$5,5,1)</f>
        <v>45778</v>
      </c>
      <c r="AZ9" s="18">
        <f>DATE(AU$5,6,1)</f>
        <v>45809</v>
      </c>
      <c r="BA9" s="18">
        <f>DATE(AU$5,7,1)</f>
        <v>45839</v>
      </c>
      <c r="BB9" s="18">
        <f>DATE(AU$5,8,1)</f>
        <v>45870</v>
      </c>
      <c r="BC9" s="18">
        <f>DATE(AU$5,9,1)</f>
        <v>45901</v>
      </c>
      <c r="BD9" s="18">
        <f>DATE(AU$5,10,1)</f>
        <v>45931</v>
      </c>
      <c r="BE9" s="18">
        <f>DATE(AU$5,11,1)</f>
        <v>45962</v>
      </c>
      <c r="BF9" s="18">
        <f>DATE(AU$5,12,1)</f>
        <v>45992</v>
      </c>
      <c r="BG9" s="17">
        <f>AS9+1</f>
        <v>2025</v>
      </c>
      <c r="BI9" s="18">
        <f>DATE(BI$5,1,1)</f>
        <v>46023</v>
      </c>
      <c r="BJ9" s="18">
        <f>DATE(BI$5,2,1)</f>
        <v>46054</v>
      </c>
      <c r="BK9" s="18">
        <f>DATE(BI$5,3,1)</f>
        <v>46082</v>
      </c>
      <c r="BL9" s="18">
        <f>DATE(BI$5,4,1)</f>
        <v>46113</v>
      </c>
      <c r="BM9" s="18">
        <f>DATE(BI$5,5,1)</f>
        <v>46143</v>
      </c>
      <c r="BN9" s="18">
        <f>DATE(BI$5,6,1)</f>
        <v>46174</v>
      </c>
      <c r="BO9" s="18">
        <f>DATE(BI$5,7,1)</f>
        <v>46204</v>
      </c>
      <c r="BP9" s="18">
        <f>DATE(BI$5,8,1)</f>
        <v>46235</v>
      </c>
      <c r="BQ9" s="18">
        <f>DATE(BI$5,9,1)</f>
        <v>46266</v>
      </c>
      <c r="BR9" s="18">
        <f>DATE(BI$5,10,1)</f>
        <v>46296</v>
      </c>
      <c r="BS9" s="18">
        <f>DATE(BI$5,11,1)</f>
        <v>46327</v>
      </c>
      <c r="BT9" s="18">
        <f>DATE(BI$5,12,1)</f>
        <v>46357</v>
      </c>
      <c r="BU9" s="17">
        <f>BG9+1</f>
        <v>2026</v>
      </c>
      <c r="BW9" s="18">
        <f>DATE(BW$5,1,1)</f>
        <v>46388</v>
      </c>
      <c r="BX9" s="18">
        <f>DATE(BW$5,2,1)</f>
        <v>46419</v>
      </c>
      <c r="BY9" s="18">
        <f>DATE(BW$5,3,1)</f>
        <v>46447</v>
      </c>
      <c r="BZ9" s="18">
        <f>DATE(BW$5,4,1)</f>
        <v>46478</v>
      </c>
      <c r="CA9" s="18">
        <f>DATE(BW$5,5,1)</f>
        <v>46508</v>
      </c>
      <c r="CB9" s="18">
        <f>DATE(BW$5,6,1)</f>
        <v>46539</v>
      </c>
      <c r="CC9" s="18">
        <f>DATE(BW$5,7,1)</f>
        <v>46569</v>
      </c>
      <c r="CD9" s="18">
        <f>DATE(BW$5,8,1)</f>
        <v>46600</v>
      </c>
      <c r="CE9" s="18">
        <f>DATE(BW$5,9,1)</f>
        <v>46631</v>
      </c>
      <c r="CF9" s="18">
        <f>DATE(BW$5,10,1)</f>
        <v>46661</v>
      </c>
      <c r="CG9" s="18">
        <f>DATE(BW$5,11,1)</f>
        <v>46692</v>
      </c>
      <c r="CH9" s="18">
        <f>DATE(BW$5,12,1)</f>
        <v>46722</v>
      </c>
      <c r="CI9" s="17">
        <f>BU9+1</f>
        <v>2027</v>
      </c>
      <c r="CK9" s="18">
        <f>DATE(CK$5,1,1)</f>
        <v>46753</v>
      </c>
      <c r="CL9" s="18">
        <f>DATE(CK$5,2,1)</f>
        <v>46784</v>
      </c>
      <c r="CM9" s="18">
        <f>DATE(CK$5,3,1)</f>
        <v>46813</v>
      </c>
      <c r="CN9" s="18">
        <f>DATE(CK$5,4,1)</f>
        <v>46844</v>
      </c>
      <c r="CO9" s="18">
        <f>DATE(CK$5,5,1)</f>
        <v>46874</v>
      </c>
      <c r="CP9" s="18">
        <f>DATE(CK$5,6,1)</f>
        <v>46905</v>
      </c>
      <c r="CQ9" s="18">
        <f>DATE(CK$5,7,1)</f>
        <v>46935</v>
      </c>
      <c r="CR9" s="18">
        <f>DATE(CK$5,8,1)</f>
        <v>46966</v>
      </c>
      <c r="CS9" s="18">
        <f>DATE(CK$5,9,1)</f>
        <v>46997</v>
      </c>
      <c r="CT9" s="18">
        <f>DATE(CK$5,10,1)</f>
        <v>47027</v>
      </c>
      <c r="CU9" s="18">
        <f>DATE(CK$5,11,1)</f>
        <v>47058</v>
      </c>
      <c r="CV9" s="18">
        <f>DATE(CK$5,12,1)</f>
        <v>47088</v>
      </c>
      <c r="CW9" s="17">
        <f>CI9+1</f>
        <v>2028</v>
      </c>
      <c r="CY9" s="18">
        <f>DATE(CY$5,1,1)</f>
        <v>47119</v>
      </c>
      <c r="CZ9" s="18">
        <f>DATE(CY$5,2,1)</f>
        <v>47150</v>
      </c>
      <c r="DA9" s="18">
        <f>DATE(CY$5,3,1)</f>
        <v>47178</v>
      </c>
      <c r="DB9" s="18">
        <f>DATE(CY$5,4,1)</f>
        <v>47209</v>
      </c>
      <c r="DC9" s="18">
        <f>DATE(CY$5,5,1)</f>
        <v>47239</v>
      </c>
      <c r="DD9" s="18">
        <f>DATE(CY$5,6,1)</f>
        <v>47270</v>
      </c>
      <c r="DE9" s="18">
        <f>DATE(CY$5,7,1)</f>
        <v>47300</v>
      </c>
      <c r="DF9" s="18">
        <f>DATE(CY$5,8,1)</f>
        <v>47331</v>
      </c>
      <c r="DG9" s="18">
        <f>DATE(CY$5,9,1)</f>
        <v>47362</v>
      </c>
      <c r="DH9" s="18">
        <f>DATE(CY$5,10,1)</f>
        <v>47392</v>
      </c>
      <c r="DI9" s="18">
        <f>DATE(CY$5,11,1)</f>
        <v>47423</v>
      </c>
      <c r="DJ9" s="18">
        <f>DATE(CY$5,12,1)</f>
        <v>47453</v>
      </c>
      <c r="DK9" s="17">
        <f>CW9+1</f>
        <v>2029</v>
      </c>
      <c r="DM9" s="18">
        <f>DATE(DM$5,1,1)</f>
        <v>47484</v>
      </c>
      <c r="DN9" s="18">
        <f>DATE(DM$5,2,1)</f>
        <v>47515</v>
      </c>
      <c r="DO9" s="18">
        <f>DATE(DM$5,3,1)</f>
        <v>47543</v>
      </c>
      <c r="DP9" s="18">
        <f>DATE(DM$5,4,1)</f>
        <v>47574</v>
      </c>
      <c r="DQ9" s="18">
        <f>DATE(DM$5,5,1)</f>
        <v>47604</v>
      </c>
      <c r="DR9" s="18">
        <f>DATE(DM$5,6,1)</f>
        <v>47635</v>
      </c>
      <c r="DS9" s="18">
        <f>DATE(DM$5,7,1)</f>
        <v>47665</v>
      </c>
      <c r="DT9" s="18">
        <f>DATE(DM$5,8,1)</f>
        <v>47696</v>
      </c>
      <c r="DU9" s="18">
        <f>DATE(DM$5,9,1)</f>
        <v>47727</v>
      </c>
      <c r="DV9" s="18">
        <f>DATE(DM$5,10,1)</f>
        <v>47757</v>
      </c>
      <c r="DW9" s="18">
        <f>DATE(DM$5,11,1)</f>
        <v>47788</v>
      </c>
      <c r="DX9" s="18">
        <f>DATE(DM$5,12,1)</f>
        <v>47818</v>
      </c>
      <c r="DY9" s="17">
        <f>DK9+1</f>
        <v>2030</v>
      </c>
    </row>
    <row r="10" spans="1:129" x14ac:dyDescent="0.3">
      <c r="C10" s="19" t="s">
        <v>9</v>
      </c>
      <c r="E10" s="20">
        <v>3500</v>
      </c>
      <c r="F10" s="20">
        <v>3500</v>
      </c>
      <c r="G10" s="20">
        <v>3500</v>
      </c>
      <c r="H10" s="20">
        <v>4500</v>
      </c>
      <c r="I10" s="20">
        <v>4500</v>
      </c>
      <c r="J10" s="20">
        <v>4500</v>
      </c>
      <c r="K10" s="20">
        <v>4500</v>
      </c>
      <c r="L10" s="20">
        <v>4500</v>
      </c>
      <c r="M10" s="20">
        <v>4500</v>
      </c>
      <c r="N10" s="20">
        <v>4500</v>
      </c>
      <c r="O10" s="20">
        <v>4500</v>
      </c>
      <c r="P10" s="20">
        <v>4500</v>
      </c>
      <c r="Q10" s="22">
        <f t="shared" ref="Q10:Q20" si="9">SUM(E10:P10)</f>
        <v>51000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2">
        <f t="shared" ref="AE10:AE20" si="10">SUM(S10:AD10)</f>
        <v>0</v>
      </c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2">
        <f t="shared" ref="AS10:AS20" si="11">SUM(AG10:AR10)</f>
        <v>0</v>
      </c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2">
        <f t="shared" ref="BG10:BG20" si="12">SUM(AU10:BF10)</f>
        <v>0</v>
      </c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2">
        <f t="shared" ref="BU10:BU20" si="13">SUM(BI10:BT10)</f>
        <v>0</v>
      </c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2">
        <f t="shared" ref="CI10:CI20" si="14">SUM(BW10:CH10)</f>
        <v>0</v>
      </c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2">
        <f t="shared" ref="CW10:CW20" si="15">SUM(CK10:CV10)</f>
        <v>0</v>
      </c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2">
        <f t="shared" ref="DK10:DK20" si="16">SUM(CY10:DJ10)</f>
        <v>0</v>
      </c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2">
        <f t="shared" ref="DY10:DY20" si="17">SUM(DM10:DX10)</f>
        <v>0</v>
      </c>
    </row>
    <row r="11" spans="1:129" x14ac:dyDescent="0.3">
      <c r="C11" s="19" t="s">
        <v>10</v>
      </c>
      <c r="E11" s="20">
        <v>1000</v>
      </c>
      <c r="F11" s="20">
        <v>1000</v>
      </c>
      <c r="G11" s="20">
        <v>1000</v>
      </c>
      <c r="H11" s="20">
        <v>1000</v>
      </c>
      <c r="I11" s="20">
        <v>1000</v>
      </c>
      <c r="J11" s="20">
        <v>1000</v>
      </c>
      <c r="K11" s="20">
        <v>1000</v>
      </c>
      <c r="L11" s="20">
        <v>1000</v>
      </c>
      <c r="M11" s="20">
        <v>1000</v>
      </c>
      <c r="N11" s="20">
        <v>1000</v>
      </c>
      <c r="O11" s="20">
        <v>1000</v>
      </c>
      <c r="P11" s="20">
        <v>1000</v>
      </c>
      <c r="Q11" s="22">
        <f t="shared" si="9"/>
        <v>12000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2">
        <f t="shared" si="10"/>
        <v>0</v>
      </c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2">
        <f t="shared" si="11"/>
        <v>0</v>
      </c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2">
        <f t="shared" si="12"/>
        <v>0</v>
      </c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2">
        <f t="shared" si="13"/>
        <v>0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2">
        <f t="shared" si="14"/>
        <v>0</v>
      </c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2">
        <f t="shared" si="15"/>
        <v>0</v>
      </c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2">
        <f t="shared" si="16"/>
        <v>0</v>
      </c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2">
        <f t="shared" si="17"/>
        <v>0</v>
      </c>
    </row>
    <row r="12" spans="1:129" x14ac:dyDescent="0.3">
      <c r="C12" s="19" t="s">
        <v>11</v>
      </c>
      <c r="E12" s="20">
        <v>150</v>
      </c>
      <c r="F12" s="20">
        <v>50</v>
      </c>
      <c r="G12" s="20">
        <v>100</v>
      </c>
      <c r="H12" s="20">
        <v>150</v>
      </c>
      <c r="I12" s="20">
        <v>50</v>
      </c>
      <c r="J12" s="20">
        <v>100</v>
      </c>
      <c r="K12" s="20">
        <v>150</v>
      </c>
      <c r="L12" s="20">
        <v>50</v>
      </c>
      <c r="M12" s="20">
        <v>100</v>
      </c>
      <c r="N12" s="20">
        <v>150</v>
      </c>
      <c r="O12" s="20">
        <v>50</v>
      </c>
      <c r="P12" s="20">
        <v>100</v>
      </c>
      <c r="Q12" s="22">
        <f t="shared" si="9"/>
        <v>1200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2">
        <f t="shared" si="10"/>
        <v>0</v>
      </c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2">
        <f t="shared" si="11"/>
        <v>0</v>
      </c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2">
        <f t="shared" si="12"/>
        <v>0</v>
      </c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2">
        <f t="shared" si="13"/>
        <v>0</v>
      </c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2">
        <f t="shared" si="14"/>
        <v>0</v>
      </c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2">
        <f t="shared" si="15"/>
        <v>0</v>
      </c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2">
        <f t="shared" si="16"/>
        <v>0</v>
      </c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2">
        <f t="shared" si="17"/>
        <v>0</v>
      </c>
    </row>
    <row r="13" spans="1:129" hidden="1" x14ac:dyDescent="0.3">
      <c r="C13" s="19" t="s">
        <v>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2">
        <f t="shared" si="9"/>
        <v>0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2">
        <f t="shared" si="10"/>
        <v>0</v>
      </c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2">
        <f t="shared" si="11"/>
        <v>0</v>
      </c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2">
        <f t="shared" si="12"/>
        <v>0</v>
      </c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2">
        <f t="shared" si="13"/>
        <v>0</v>
      </c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2">
        <f t="shared" si="14"/>
        <v>0</v>
      </c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2">
        <f t="shared" si="15"/>
        <v>0</v>
      </c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2">
        <f t="shared" si="16"/>
        <v>0</v>
      </c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2">
        <f t="shared" si="17"/>
        <v>0</v>
      </c>
    </row>
    <row r="14" spans="1:129" hidden="1" x14ac:dyDescent="0.3">
      <c r="C14" s="19" t="s">
        <v>7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2">
        <f t="shared" si="9"/>
        <v>0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2">
        <f t="shared" si="10"/>
        <v>0</v>
      </c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2">
        <f t="shared" si="11"/>
        <v>0</v>
      </c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2">
        <f t="shared" si="12"/>
        <v>0</v>
      </c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2">
        <f t="shared" si="13"/>
        <v>0</v>
      </c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2">
        <f t="shared" si="14"/>
        <v>0</v>
      </c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2">
        <f t="shared" si="15"/>
        <v>0</v>
      </c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2">
        <f t="shared" si="16"/>
        <v>0</v>
      </c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2">
        <f t="shared" si="17"/>
        <v>0</v>
      </c>
    </row>
    <row r="15" spans="1:129" hidden="1" x14ac:dyDescent="0.3">
      <c r="C15" s="19" t="s">
        <v>7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2">
        <f t="shared" si="9"/>
        <v>0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2">
        <f t="shared" si="10"/>
        <v>0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2">
        <f t="shared" si="11"/>
        <v>0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2">
        <f t="shared" si="12"/>
        <v>0</v>
      </c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2">
        <f t="shared" si="13"/>
        <v>0</v>
      </c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2">
        <f t="shared" si="14"/>
        <v>0</v>
      </c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2">
        <f t="shared" si="15"/>
        <v>0</v>
      </c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2">
        <f t="shared" si="16"/>
        <v>0</v>
      </c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2">
        <f t="shared" si="17"/>
        <v>0</v>
      </c>
    </row>
    <row r="16" spans="1:129" hidden="1" x14ac:dyDescent="0.3">
      <c r="C16" s="19" t="s">
        <v>7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2">
        <f t="shared" si="9"/>
        <v>0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2">
        <f t="shared" si="10"/>
        <v>0</v>
      </c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2">
        <f t="shared" si="11"/>
        <v>0</v>
      </c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2">
        <f t="shared" si="12"/>
        <v>0</v>
      </c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2">
        <f t="shared" si="13"/>
        <v>0</v>
      </c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2">
        <f t="shared" si="14"/>
        <v>0</v>
      </c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2">
        <f t="shared" si="15"/>
        <v>0</v>
      </c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2">
        <f t="shared" si="16"/>
        <v>0</v>
      </c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2">
        <f t="shared" si="17"/>
        <v>0</v>
      </c>
    </row>
    <row r="17" spans="3:129" hidden="1" x14ac:dyDescent="0.3">
      <c r="C17" s="19" t="s">
        <v>7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2">
        <f t="shared" si="9"/>
        <v>0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2">
        <f t="shared" si="10"/>
        <v>0</v>
      </c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2">
        <f t="shared" si="11"/>
        <v>0</v>
      </c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2">
        <f t="shared" si="12"/>
        <v>0</v>
      </c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2">
        <f t="shared" si="13"/>
        <v>0</v>
      </c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2">
        <f t="shared" si="14"/>
        <v>0</v>
      </c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2">
        <f t="shared" si="15"/>
        <v>0</v>
      </c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2">
        <f t="shared" si="16"/>
        <v>0</v>
      </c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2">
        <f t="shared" si="17"/>
        <v>0</v>
      </c>
    </row>
    <row r="18" spans="3:129" hidden="1" x14ac:dyDescent="0.3">
      <c r="C18" s="19" t="s">
        <v>7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2">
        <f t="shared" si="9"/>
        <v>0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2">
        <f t="shared" si="10"/>
        <v>0</v>
      </c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2">
        <f t="shared" si="11"/>
        <v>0</v>
      </c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2">
        <f t="shared" si="12"/>
        <v>0</v>
      </c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2">
        <f t="shared" si="13"/>
        <v>0</v>
      </c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2">
        <f t="shared" si="14"/>
        <v>0</v>
      </c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2">
        <f t="shared" si="15"/>
        <v>0</v>
      </c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2">
        <f t="shared" si="16"/>
        <v>0</v>
      </c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2">
        <f t="shared" si="17"/>
        <v>0</v>
      </c>
    </row>
    <row r="19" spans="3:129" hidden="1" x14ac:dyDescent="0.3">
      <c r="C19" s="19" t="s">
        <v>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2">
        <f t="shared" si="9"/>
        <v>0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2">
        <f t="shared" si="10"/>
        <v>0</v>
      </c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2">
        <f t="shared" si="11"/>
        <v>0</v>
      </c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2">
        <f t="shared" si="12"/>
        <v>0</v>
      </c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2">
        <f t="shared" si="13"/>
        <v>0</v>
      </c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2">
        <f t="shared" si="14"/>
        <v>0</v>
      </c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2">
        <f t="shared" si="15"/>
        <v>0</v>
      </c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2">
        <f t="shared" si="16"/>
        <v>0</v>
      </c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2">
        <f t="shared" si="17"/>
        <v>0</v>
      </c>
    </row>
    <row r="20" spans="3:129" x14ac:dyDescent="0.3">
      <c r="C20" s="16" t="s">
        <v>8</v>
      </c>
      <c r="E20" s="21" cm="1">
        <f t="array" aca="1" ref="E20" ca="1">SUM(INDIRECT(ADDRESS(income_min_row,COLUMN()) &amp; ":" &amp; ADDRESS(income_max_row, COLUMN())))</f>
        <v>4650</v>
      </c>
      <c r="F20" s="21" cm="1">
        <f t="array" aca="1" ref="F20" ca="1">SUM(INDIRECT(ADDRESS(income_min_row,COLUMN()) &amp; ":" &amp; ADDRESS(income_max_row, COLUMN())))</f>
        <v>4550</v>
      </c>
      <c r="G20" s="21" cm="1">
        <f t="array" aca="1" ref="G20" ca="1">SUM(INDIRECT(ADDRESS(income_min_row,COLUMN()) &amp; ":" &amp; ADDRESS(income_max_row, COLUMN())))</f>
        <v>4600</v>
      </c>
      <c r="H20" s="21" cm="1">
        <f t="array" aca="1" ref="H20" ca="1">SUM(INDIRECT(ADDRESS(income_min_row,COLUMN()) &amp; ":" &amp; ADDRESS(income_max_row, COLUMN())))</f>
        <v>5650</v>
      </c>
      <c r="I20" s="21" cm="1">
        <f t="array" aca="1" ref="I20" ca="1">SUM(INDIRECT(ADDRESS(income_min_row,COLUMN()) &amp; ":" &amp; ADDRESS(income_max_row, COLUMN())))</f>
        <v>5550</v>
      </c>
      <c r="J20" s="21" cm="1">
        <f t="array" aca="1" ref="J20" ca="1">SUM(INDIRECT(ADDRESS(income_min_row,COLUMN()) &amp; ":" &amp; ADDRESS(income_max_row, COLUMN())))</f>
        <v>5600</v>
      </c>
      <c r="K20" s="21" cm="1">
        <f t="array" aca="1" ref="K20" ca="1">SUM(INDIRECT(ADDRESS(income_min_row,COLUMN()) &amp; ":" &amp; ADDRESS(income_max_row, COLUMN())))</f>
        <v>5650</v>
      </c>
      <c r="L20" s="21" cm="1">
        <f t="array" aca="1" ref="L20" ca="1">SUM(INDIRECT(ADDRESS(income_min_row,COLUMN()) &amp; ":" &amp; ADDRESS(income_max_row, COLUMN())))</f>
        <v>5550</v>
      </c>
      <c r="M20" s="21" cm="1">
        <f t="array" aca="1" ref="M20" ca="1">SUM(INDIRECT(ADDRESS(income_min_row,COLUMN()) &amp; ":" &amp; ADDRESS(income_max_row, COLUMN())))</f>
        <v>5600</v>
      </c>
      <c r="N20" s="21" cm="1">
        <f t="array" aca="1" ref="N20" ca="1">SUM(INDIRECT(ADDRESS(income_min_row,COLUMN()) &amp; ":" &amp; ADDRESS(income_max_row, COLUMN())))</f>
        <v>5650</v>
      </c>
      <c r="O20" s="21" cm="1">
        <f t="array" aca="1" ref="O20" ca="1">SUM(INDIRECT(ADDRESS(income_min_row,COLUMN()) &amp; ":" &amp; ADDRESS(income_max_row, COLUMN())))</f>
        <v>5550</v>
      </c>
      <c r="P20" s="21" cm="1">
        <f t="array" aca="1" ref="P20" ca="1">SUM(INDIRECT(ADDRESS(income_min_row,COLUMN()) &amp; ":" &amp; ADDRESS(income_max_row, COLUMN())))</f>
        <v>5600</v>
      </c>
      <c r="Q20" s="21">
        <f t="shared" ca="1" si="9"/>
        <v>64200</v>
      </c>
      <c r="S20" s="21" cm="1">
        <f t="array" aca="1" ref="S20" ca="1">SUM(INDIRECT(ADDRESS(income_min_row,COLUMN()) &amp; ":" &amp; ADDRESS(income_max_row, COLUMN())))</f>
        <v>0</v>
      </c>
      <c r="T20" s="21" cm="1">
        <f t="array" aca="1" ref="T20" ca="1">SUM(INDIRECT(ADDRESS(income_min_row,COLUMN()) &amp; ":" &amp; ADDRESS(income_max_row, COLUMN())))</f>
        <v>0</v>
      </c>
      <c r="U20" s="21" cm="1">
        <f t="array" aca="1" ref="U20" ca="1">SUM(INDIRECT(ADDRESS(income_min_row,COLUMN()) &amp; ":" &amp; ADDRESS(income_max_row, COLUMN())))</f>
        <v>0</v>
      </c>
      <c r="V20" s="21" cm="1">
        <f t="array" aca="1" ref="V20" ca="1">SUM(INDIRECT(ADDRESS(income_min_row,COLUMN()) &amp; ":" &amp; ADDRESS(income_max_row, COLUMN())))</f>
        <v>0</v>
      </c>
      <c r="W20" s="21"/>
      <c r="X20" s="21" cm="1">
        <f t="array" aca="1" ref="X20" ca="1">SUM(INDIRECT(ADDRESS(income_min_row,COLUMN()) &amp; ":" &amp; ADDRESS(income_max_row, COLUMN())))</f>
        <v>0</v>
      </c>
      <c r="Y20" s="21" cm="1">
        <f t="array" aca="1" ref="Y20" ca="1">SUM(INDIRECT(ADDRESS(income_min_row,COLUMN()) &amp; ":" &amp; ADDRESS(income_max_row, COLUMN())))</f>
        <v>0</v>
      </c>
      <c r="Z20" s="21" cm="1">
        <f t="array" aca="1" ref="Z20" ca="1">SUM(INDIRECT(ADDRESS(income_min_row,COLUMN()) &amp; ":" &amp; ADDRESS(income_max_row, COLUMN())))</f>
        <v>0</v>
      </c>
      <c r="AA20" s="21" cm="1">
        <f t="array" aca="1" ref="AA20" ca="1">SUM(INDIRECT(ADDRESS(income_min_row,COLUMN()) &amp; ":" &amp; ADDRESS(income_max_row, COLUMN())))</f>
        <v>0</v>
      </c>
      <c r="AB20" s="21" cm="1">
        <f t="array" aca="1" ref="AB20" ca="1">SUM(INDIRECT(ADDRESS(income_min_row,COLUMN()) &amp; ":" &amp; ADDRESS(income_max_row, COLUMN())))</f>
        <v>0</v>
      </c>
      <c r="AC20" s="21" cm="1">
        <f t="array" aca="1" ref="AC20" ca="1">SUM(INDIRECT(ADDRESS(income_min_row,COLUMN()) &amp; ":" &amp; ADDRESS(income_max_row, COLUMN())))</f>
        <v>0</v>
      </c>
      <c r="AD20" s="21" cm="1">
        <f t="array" aca="1" ref="AD20" ca="1">SUM(INDIRECT(ADDRESS(income_min_row,COLUMN()) &amp; ":" &amp; ADDRESS(income_max_row, COLUMN())))</f>
        <v>0</v>
      </c>
      <c r="AE20" s="21">
        <f t="shared" ca="1" si="10"/>
        <v>0</v>
      </c>
      <c r="AG20" s="21" cm="1">
        <f t="array" aca="1" ref="AG20" ca="1">SUM(INDIRECT(ADDRESS(income_min_row,COLUMN()) &amp; ":" &amp; ADDRESS(income_max_row, COLUMN())))</f>
        <v>0</v>
      </c>
      <c r="AH20" s="21" cm="1">
        <f t="array" aca="1" ref="AH20" ca="1">SUM(INDIRECT(ADDRESS(income_min_row,COLUMN()) &amp; ":" &amp; ADDRESS(income_max_row, COLUMN())))</f>
        <v>0</v>
      </c>
      <c r="AI20" s="21" cm="1">
        <f t="array" aca="1" ref="AI20" ca="1">SUM(INDIRECT(ADDRESS(income_min_row,COLUMN()) &amp; ":" &amp; ADDRESS(income_max_row, COLUMN())))</f>
        <v>0</v>
      </c>
      <c r="AJ20" s="21" cm="1">
        <f t="array" aca="1" ref="AJ20" ca="1">SUM(INDIRECT(ADDRESS(income_min_row,COLUMN()) &amp; ":" &amp; ADDRESS(income_max_row, COLUMN())))</f>
        <v>0</v>
      </c>
      <c r="AK20" s="21"/>
      <c r="AL20" s="21" cm="1">
        <f t="array" aca="1" ref="AL20" ca="1">SUM(INDIRECT(ADDRESS(income_min_row,COLUMN()) &amp; ":" &amp; ADDRESS(income_max_row, COLUMN())))</f>
        <v>0</v>
      </c>
      <c r="AM20" s="21" cm="1">
        <f t="array" aca="1" ref="AM20" ca="1">SUM(INDIRECT(ADDRESS(income_min_row,COLUMN()) &amp; ":" &amp; ADDRESS(income_max_row, COLUMN())))</f>
        <v>0</v>
      </c>
      <c r="AN20" s="21" cm="1">
        <f t="array" aca="1" ref="AN20" ca="1">SUM(INDIRECT(ADDRESS(income_min_row,COLUMN()) &amp; ":" &amp; ADDRESS(income_max_row, COLUMN())))</f>
        <v>0</v>
      </c>
      <c r="AO20" s="21" cm="1">
        <f t="array" aca="1" ref="AO20" ca="1">SUM(INDIRECT(ADDRESS(income_min_row,COLUMN()) &amp; ":" &amp; ADDRESS(income_max_row, COLUMN())))</f>
        <v>0</v>
      </c>
      <c r="AP20" s="21" cm="1">
        <f t="array" aca="1" ref="AP20" ca="1">SUM(INDIRECT(ADDRESS(income_min_row,COLUMN()) &amp; ":" &amp; ADDRESS(income_max_row, COLUMN())))</f>
        <v>0</v>
      </c>
      <c r="AQ20" s="21" cm="1">
        <f t="array" aca="1" ref="AQ20" ca="1">SUM(INDIRECT(ADDRESS(income_min_row,COLUMN()) &amp; ":" &amp; ADDRESS(income_max_row, COLUMN())))</f>
        <v>0</v>
      </c>
      <c r="AR20" s="21" cm="1">
        <f t="array" aca="1" ref="AR20" ca="1">SUM(INDIRECT(ADDRESS(income_min_row,COLUMN()) &amp; ":" &amp; ADDRESS(income_max_row, COLUMN())))</f>
        <v>0</v>
      </c>
      <c r="AS20" s="21">
        <f t="shared" ca="1" si="11"/>
        <v>0</v>
      </c>
      <c r="AU20" s="21" cm="1">
        <f t="array" aca="1" ref="AU20" ca="1">SUM(INDIRECT(ADDRESS(income_min_row,COLUMN()) &amp; ":" &amp; ADDRESS(income_max_row, COLUMN())))</f>
        <v>0</v>
      </c>
      <c r="AV20" s="21" cm="1">
        <f t="array" aca="1" ref="AV20" ca="1">SUM(INDIRECT(ADDRESS(income_min_row,COLUMN()) &amp; ":" &amp; ADDRESS(income_max_row, COLUMN())))</f>
        <v>0</v>
      </c>
      <c r="AW20" s="21" cm="1">
        <f t="array" aca="1" ref="AW20" ca="1">SUM(INDIRECT(ADDRESS(income_min_row,COLUMN()) &amp; ":" &amp; ADDRESS(income_max_row, COLUMN())))</f>
        <v>0</v>
      </c>
      <c r="AX20" s="21" cm="1">
        <f t="array" aca="1" ref="AX20" ca="1">SUM(INDIRECT(ADDRESS(income_min_row,COLUMN()) &amp; ":" &amp; ADDRESS(income_max_row, COLUMN())))</f>
        <v>0</v>
      </c>
      <c r="AY20" s="21"/>
      <c r="AZ20" s="21" cm="1">
        <f t="array" aca="1" ref="AZ20" ca="1">SUM(INDIRECT(ADDRESS(income_min_row,COLUMN()) &amp; ":" &amp; ADDRESS(income_max_row, COLUMN())))</f>
        <v>0</v>
      </c>
      <c r="BA20" s="21" cm="1">
        <f t="array" aca="1" ref="BA20" ca="1">SUM(INDIRECT(ADDRESS(income_min_row,COLUMN()) &amp; ":" &amp; ADDRESS(income_max_row, COLUMN())))</f>
        <v>0</v>
      </c>
      <c r="BB20" s="21" cm="1">
        <f t="array" aca="1" ref="BB20" ca="1">SUM(INDIRECT(ADDRESS(income_min_row,COLUMN()) &amp; ":" &amp; ADDRESS(income_max_row, COLUMN())))</f>
        <v>0</v>
      </c>
      <c r="BC20" s="21" cm="1">
        <f t="array" aca="1" ref="BC20" ca="1">SUM(INDIRECT(ADDRESS(income_min_row,COLUMN()) &amp; ":" &amp; ADDRESS(income_max_row, COLUMN())))</f>
        <v>0</v>
      </c>
      <c r="BD20" s="21" cm="1">
        <f t="array" aca="1" ref="BD20" ca="1">SUM(INDIRECT(ADDRESS(income_min_row,COLUMN()) &amp; ":" &amp; ADDRESS(income_max_row, COLUMN())))</f>
        <v>0</v>
      </c>
      <c r="BE20" s="21" cm="1">
        <f t="array" aca="1" ref="BE20" ca="1">SUM(INDIRECT(ADDRESS(income_min_row,COLUMN()) &amp; ":" &amp; ADDRESS(income_max_row, COLUMN())))</f>
        <v>0</v>
      </c>
      <c r="BF20" s="21" cm="1">
        <f t="array" aca="1" ref="BF20" ca="1">SUM(INDIRECT(ADDRESS(income_min_row,COLUMN()) &amp; ":" &amp; ADDRESS(income_max_row, COLUMN())))</f>
        <v>0</v>
      </c>
      <c r="BG20" s="21">
        <f t="shared" ca="1" si="12"/>
        <v>0</v>
      </c>
      <c r="BI20" s="21" cm="1">
        <f t="array" aca="1" ref="BI20" ca="1">SUM(INDIRECT(ADDRESS(income_min_row,COLUMN()) &amp; ":" &amp; ADDRESS(income_max_row, COLUMN())))</f>
        <v>0</v>
      </c>
      <c r="BJ20" s="21" cm="1">
        <f t="array" aca="1" ref="BJ20" ca="1">SUM(INDIRECT(ADDRESS(income_min_row,COLUMN()) &amp; ":" &amp; ADDRESS(income_max_row, COLUMN())))</f>
        <v>0</v>
      </c>
      <c r="BK20" s="21" cm="1">
        <f t="array" aca="1" ref="BK20" ca="1">SUM(INDIRECT(ADDRESS(income_min_row,COLUMN()) &amp; ":" &amp; ADDRESS(income_max_row, COLUMN())))</f>
        <v>0</v>
      </c>
      <c r="BL20" s="21" cm="1">
        <f t="array" aca="1" ref="BL20" ca="1">SUM(INDIRECT(ADDRESS(income_min_row,COLUMN()) &amp; ":" &amp; ADDRESS(income_max_row, COLUMN())))</f>
        <v>0</v>
      </c>
      <c r="BM20" s="21"/>
      <c r="BN20" s="21" cm="1">
        <f t="array" aca="1" ref="BN20" ca="1">SUM(INDIRECT(ADDRESS(income_min_row,COLUMN()) &amp; ":" &amp; ADDRESS(income_max_row, COLUMN())))</f>
        <v>0</v>
      </c>
      <c r="BO20" s="21" cm="1">
        <f t="array" aca="1" ref="BO20" ca="1">SUM(INDIRECT(ADDRESS(income_min_row,COLUMN()) &amp; ":" &amp; ADDRESS(income_max_row, COLUMN())))</f>
        <v>0</v>
      </c>
      <c r="BP20" s="21" cm="1">
        <f t="array" aca="1" ref="BP20" ca="1">SUM(INDIRECT(ADDRESS(income_min_row,COLUMN()) &amp; ":" &amp; ADDRESS(income_max_row, COLUMN())))</f>
        <v>0</v>
      </c>
      <c r="BQ20" s="21" cm="1">
        <f t="array" aca="1" ref="BQ20" ca="1">SUM(INDIRECT(ADDRESS(income_min_row,COLUMN()) &amp; ":" &amp; ADDRESS(income_max_row, COLUMN())))</f>
        <v>0</v>
      </c>
      <c r="BR20" s="21" cm="1">
        <f t="array" aca="1" ref="BR20" ca="1">SUM(INDIRECT(ADDRESS(income_min_row,COLUMN()) &amp; ":" &amp; ADDRESS(income_max_row, COLUMN())))</f>
        <v>0</v>
      </c>
      <c r="BS20" s="21" cm="1">
        <f t="array" aca="1" ref="BS20" ca="1">SUM(INDIRECT(ADDRESS(income_min_row,COLUMN()) &amp; ":" &amp; ADDRESS(income_max_row, COLUMN())))</f>
        <v>0</v>
      </c>
      <c r="BT20" s="21" cm="1">
        <f t="array" aca="1" ref="BT20" ca="1">SUM(INDIRECT(ADDRESS(income_min_row,COLUMN()) &amp; ":" &amp; ADDRESS(income_max_row, COLUMN())))</f>
        <v>0</v>
      </c>
      <c r="BU20" s="21">
        <f t="shared" ca="1" si="13"/>
        <v>0</v>
      </c>
      <c r="BW20" s="21" cm="1">
        <f t="array" aca="1" ref="BW20" ca="1">SUM(INDIRECT(ADDRESS(income_min_row,COLUMN()) &amp; ":" &amp; ADDRESS(income_max_row, COLUMN())))</f>
        <v>0</v>
      </c>
      <c r="BX20" s="21" cm="1">
        <f t="array" aca="1" ref="BX20" ca="1">SUM(INDIRECT(ADDRESS(income_min_row,COLUMN()) &amp; ":" &amp; ADDRESS(income_max_row, COLUMN())))</f>
        <v>0</v>
      </c>
      <c r="BY20" s="21" cm="1">
        <f t="array" aca="1" ref="BY20" ca="1">SUM(INDIRECT(ADDRESS(income_min_row,COLUMN()) &amp; ":" &amp; ADDRESS(income_max_row, COLUMN())))</f>
        <v>0</v>
      </c>
      <c r="BZ20" s="21" cm="1">
        <f t="array" aca="1" ref="BZ20" ca="1">SUM(INDIRECT(ADDRESS(income_min_row,COLUMN()) &amp; ":" &amp; ADDRESS(income_max_row, COLUMN())))</f>
        <v>0</v>
      </c>
      <c r="CA20" s="21"/>
      <c r="CB20" s="21" cm="1">
        <f t="array" aca="1" ref="CB20" ca="1">SUM(INDIRECT(ADDRESS(income_min_row,COLUMN()) &amp; ":" &amp; ADDRESS(income_max_row, COLUMN())))</f>
        <v>0</v>
      </c>
      <c r="CC20" s="21" cm="1">
        <f t="array" aca="1" ref="CC20" ca="1">SUM(INDIRECT(ADDRESS(income_min_row,COLUMN()) &amp; ":" &amp; ADDRESS(income_max_row, COLUMN())))</f>
        <v>0</v>
      </c>
      <c r="CD20" s="21" cm="1">
        <f t="array" aca="1" ref="CD20" ca="1">SUM(INDIRECT(ADDRESS(income_min_row,COLUMN()) &amp; ":" &amp; ADDRESS(income_max_row, COLUMN())))</f>
        <v>0</v>
      </c>
      <c r="CE20" s="21" cm="1">
        <f t="array" aca="1" ref="CE20" ca="1">SUM(INDIRECT(ADDRESS(income_min_row,COLUMN()) &amp; ":" &amp; ADDRESS(income_max_row, COLUMN())))</f>
        <v>0</v>
      </c>
      <c r="CF20" s="21" cm="1">
        <f t="array" aca="1" ref="CF20" ca="1">SUM(INDIRECT(ADDRESS(income_min_row,COLUMN()) &amp; ":" &amp; ADDRESS(income_max_row, COLUMN())))</f>
        <v>0</v>
      </c>
      <c r="CG20" s="21" cm="1">
        <f t="array" aca="1" ref="CG20" ca="1">SUM(INDIRECT(ADDRESS(income_min_row,COLUMN()) &amp; ":" &amp; ADDRESS(income_max_row, COLUMN())))</f>
        <v>0</v>
      </c>
      <c r="CH20" s="21" cm="1">
        <f t="array" aca="1" ref="CH20" ca="1">SUM(INDIRECT(ADDRESS(income_min_row,COLUMN()) &amp; ":" &amp; ADDRESS(income_max_row, COLUMN())))</f>
        <v>0</v>
      </c>
      <c r="CI20" s="21">
        <f t="shared" ca="1" si="14"/>
        <v>0</v>
      </c>
      <c r="CK20" s="21" cm="1">
        <f t="array" aca="1" ref="CK20" ca="1">SUM(INDIRECT(ADDRESS(income_min_row,COLUMN()) &amp; ":" &amp; ADDRESS(income_max_row, COLUMN())))</f>
        <v>0</v>
      </c>
      <c r="CL20" s="21" cm="1">
        <f t="array" aca="1" ref="CL20" ca="1">SUM(INDIRECT(ADDRESS(income_min_row,COLUMN()) &amp; ":" &amp; ADDRESS(income_max_row, COLUMN())))</f>
        <v>0</v>
      </c>
      <c r="CM20" s="21" cm="1">
        <f t="array" aca="1" ref="CM20" ca="1">SUM(INDIRECT(ADDRESS(income_min_row,COLUMN()) &amp; ":" &amp; ADDRESS(income_max_row, COLUMN())))</f>
        <v>0</v>
      </c>
      <c r="CN20" s="21" cm="1">
        <f t="array" aca="1" ref="CN20" ca="1">SUM(INDIRECT(ADDRESS(income_min_row,COLUMN()) &amp; ":" &amp; ADDRESS(income_max_row, COLUMN())))</f>
        <v>0</v>
      </c>
      <c r="CO20" s="21"/>
      <c r="CP20" s="21" cm="1">
        <f t="array" aca="1" ref="CP20" ca="1">SUM(INDIRECT(ADDRESS(income_min_row,COLUMN()) &amp; ":" &amp; ADDRESS(income_max_row, COLUMN())))</f>
        <v>0</v>
      </c>
      <c r="CQ20" s="21" cm="1">
        <f t="array" aca="1" ref="CQ20" ca="1">SUM(INDIRECT(ADDRESS(income_min_row,COLUMN()) &amp; ":" &amp; ADDRESS(income_max_row, COLUMN())))</f>
        <v>0</v>
      </c>
      <c r="CR20" s="21" cm="1">
        <f t="array" aca="1" ref="CR20" ca="1">SUM(INDIRECT(ADDRESS(income_min_row,COLUMN()) &amp; ":" &amp; ADDRESS(income_max_row, COLUMN())))</f>
        <v>0</v>
      </c>
      <c r="CS20" s="21" cm="1">
        <f t="array" aca="1" ref="CS20" ca="1">SUM(INDIRECT(ADDRESS(income_min_row,COLUMN()) &amp; ":" &amp; ADDRESS(income_max_row, COLUMN())))</f>
        <v>0</v>
      </c>
      <c r="CT20" s="21" cm="1">
        <f t="array" aca="1" ref="CT20" ca="1">SUM(INDIRECT(ADDRESS(income_min_row,COLUMN()) &amp; ":" &amp; ADDRESS(income_max_row, COLUMN())))</f>
        <v>0</v>
      </c>
      <c r="CU20" s="21" cm="1">
        <f t="array" aca="1" ref="CU20" ca="1">SUM(INDIRECT(ADDRESS(income_min_row,COLUMN()) &amp; ":" &amp; ADDRESS(income_max_row, COLUMN())))</f>
        <v>0</v>
      </c>
      <c r="CV20" s="21" cm="1">
        <f t="array" aca="1" ref="CV20" ca="1">SUM(INDIRECT(ADDRESS(income_min_row,COLUMN()) &amp; ":" &amp; ADDRESS(income_max_row, COLUMN())))</f>
        <v>0</v>
      </c>
      <c r="CW20" s="21">
        <f t="shared" ca="1" si="15"/>
        <v>0</v>
      </c>
      <c r="CY20" s="21" cm="1">
        <f t="array" aca="1" ref="CY20" ca="1">SUM(INDIRECT(ADDRESS(income_min_row,COLUMN()) &amp; ":" &amp; ADDRESS(income_max_row, COLUMN())))</f>
        <v>0</v>
      </c>
      <c r="CZ20" s="21" cm="1">
        <f t="array" aca="1" ref="CZ20" ca="1">SUM(INDIRECT(ADDRESS(income_min_row,COLUMN()) &amp; ":" &amp; ADDRESS(income_max_row, COLUMN())))</f>
        <v>0</v>
      </c>
      <c r="DA20" s="21" cm="1">
        <f t="array" aca="1" ref="DA20" ca="1">SUM(INDIRECT(ADDRESS(income_min_row,COLUMN()) &amp; ":" &amp; ADDRESS(income_max_row, COLUMN())))</f>
        <v>0</v>
      </c>
      <c r="DB20" s="21" cm="1">
        <f t="array" aca="1" ref="DB20" ca="1">SUM(INDIRECT(ADDRESS(income_min_row,COLUMN()) &amp; ":" &amp; ADDRESS(income_max_row, COLUMN())))</f>
        <v>0</v>
      </c>
      <c r="DC20" s="21"/>
      <c r="DD20" s="21" cm="1">
        <f t="array" aca="1" ref="DD20" ca="1">SUM(INDIRECT(ADDRESS(income_min_row,COLUMN()) &amp; ":" &amp; ADDRESS(income_max_row, COLUMN())))</f>
        <v>0</v>
      </c>
      <c r="DE20" s="21" cm="1">
        <f t="array" aca="1" ref="DE20" ca="1">SUM(INDIRECT(ADDRESS(income_min_row,COLUMN()) &amp; ":" &amp; ADDRESS(income_max_row, COLUMN())))</f>
        <v>0</v>
      </c>
      <c r="DF20" s="21" cm="1">
        <f t="array" aca="1" ref="DF20" ca="1">SUM(INDIRECT(ADDRESS(income_min_row,COLUMN()) &amp; ":" &amp; ADDRESS(income_max_row, COLUMN())))</f>
        <v>0</v>
      </c>
      <c r="DG20" s="21" cm="1">
        <f t="array" aca="1" ref="DG20" ca="1">SUM(INDIRECT(ADDRESS(income_min_row,COLUMN()) &amp; ":" &amp; ADDRESS(income_max_row, COLUMN())))</f>
        <v>0</v>
      </c>
      <c r="DH20" s="21" cm="1">
        <f t="array" aca="1" ref="DH20" ca="1">SUM(INDIRECT(ADDRESS(income_min_row,COLUMN()) &amp; ":" &amp; ADDRESS(income_max_row, COLUMN())))</f>
        <v>0</v>
      </c>
      <c r="DI20" s="21" cm="1">
        <f t="array" aca="1" ref="DI20" ca="1">SUM(INDIRECT(ADDRESS(income_min_row,COLUMN()) &amp; ":" &amp; ADDRESS(income_max_row, COLUMN())))</f>
        <v>0</v>
      </c>
      <c r="DJ20" s="21" cm="1">
        <f t="array" aca="1" ref="DJ20" ca="1">SUM(INDIRECT(ADDRESS(income_min_row,COLUMN()) &amp; ":" &amp; ADDRESS(income_max_row, COLUMN())))</f>
        <v>0</v>
      </c>
      <c r="DK20" s="21">
        <f t="shared" ca="1" si="16"/>
        <v>0</v>
      </c>
      <c r="DM20" s="21" cm="1">
        <f t="array" aca="1" ref="DM20" ca="1">SUM(INDIRECT(ADDRESS(income_min_row,COLUMN()) &amp; ":" &amp; ADDRESS(income_max_row, COLUMN())))</f>
        <v>0</v>
      </c>
      <c r="DN20" s="21" cm="1">
        <f t="array" aca="1" ref="DN20" ca="1">SUM(INDIRECT(ADDRESS(income_min_row,COLUMN()) &amp; ":" &amp; ADDRESS(income_max_row, COLUMN())))</f>
        <v>0</v>
      </c>
      <c r="DO20" s="21" cm="1">
        <f t="array" aca="1" ref="DO20" ca="1">SUM(INDIRECT(ADDRESS(income_min_row,COLUMN()) &amp; ":" &amp; ADDRESS(income_max_row, COLUMN())))</f>
        <v>0</v>
      </c>
      <c r="DP20" s="21" cm="1">
        <f t="array" aca="1" ref="DP20" ca="1">SUM(INDIRECT(ADDRESS(income_min_row,COLUMN()) &amp; ":" &amp; ADDRESS(income_max_row, COLUMN())))</f>
        <v>0</v>
      </c>
      <c r="DQ20" s="21"/>
      <c r="DR20" s="21" cm="1">
        <f t="array" aca="1" ref="DR20" ca="1">SUM(INDIRECT(ADDRESS(income_min_row,COLUMN()) &amp; ":" &amp; ADDRESS(income_max_row, COLUMN())))</f>
        <v>0</v>
      </c>
      <c r="DS20" s="21" cm="1">
        <f t="array" aca="1" ref="DS20" ca="1">SUM(INDIRECT(ADDRESS(income_min_row,COLUMN()) &amp; ":" &amp; ADDRESS(income_max_row, COLUMN())))</f>
        <v>0</v>
      </c>
      <c r="DT20" s="21" cm="1">
        <f t="array" aca="1" ref="DT20" ca="1">SUM(INDIRECT(ADDRESS(income_min_row,COLUMN()) &amp; ":" &amp; ADDRESS(income_max_row, COLUMN())))</f>
        <v>0</v>
      </c>
      <c r="DU20" s="21" cm="1">
        <f t="array" aca="1" ref="DU20" ca="1">SUM(INDIRECT(ADDRESS(income_min_row,COLUMN()) &amp; ":" &amp; ADDRESS(income_max_row, COLUMN())))</f>
        <v>0</v>
      </c>
      <c r="DV20" s="21" cm="1">
        <f t="array" aca="1" ref="DV20" ca="1">SUM(INDIRECT(ADDRESS(income_min_row,COLUMN()) &amp; ":" &amp; ADDRESS(income_max_row, COLUMN())))</f>
        <v>0</v>
      </c>
      <c r="DW20" s="21" cm="1">
        <f t="array" aca="1" ref="DW20" ca="1">SUM(INDIRECT(ADDRESS(income_min_row,COLUMN()) &amp; ":" &amp; ADDRESS(income_max_row, COLUMN())))</f>
        <v>0</v>
      </c>
      <c r="DX20" s="21" cm="1">
        <f t="array" aca="1" ref="DX20" ca="1">SUM(INDIRECT(ADDRESS(income_min_row,COLUMN()) &amp; ":" &amp; ADDRESS(income_max_row, COLUMN())))</f>
        <v>0</v>
      </c>
      <c r="DY20" s="21">
        <f t="shared" ca="1" si="17"/>
        <v>0</v>
      </c>
    </row>
    <row r="21" spans="3:129" x14ac:dyDescent="0.3">
      <c r="CK21" s="92"/>
    </row>
    <row r="22" spans="3:129" x14ac:dyDescent="0.3">
      <c r="C22" s="91" t="s">
        <v>12</v>
      </c>
      <c r="D22" s="92"/>
      <c r="E22" s="93">
        <f>DATE(E$5,1,1)</f>
        <v>44562</v>
      </c>
      <c r="F22" s="93">
        <f>DATE(E$5,2,1)</f>
        <v>44593</v>
      </c>
      <c r="G22" s="93">
        <f>DATE(E$5,3,1)</f>
        <v>44621</v>
      </c>
      <c r="H22" s="93">
        <f>DATE(E$5,4,1)</f>
        <v>44652</v>
      </c>
      <c r="I22" s="93">
        <f>DATE(E$5,5,1)</f>
        <v>44682</v>
      </c>
      <c r="J22" s="93">
        <f>DATE(E$5,6,1)</f>
        <v>44713</v>
      </c>
      <c r="K22" s="93">
        <f>DATE(E$5,7,1)</f>
        <v>44743</v>
      </c>
      <c r="L22" s="93">
        <f>DATE(E$5,8,1)</f>
        <v>44774</v>
      </c>
      <c r="M22" s="93">
        <f>DATE(E$5,9,1)</f>
        <v>44805</v>
      </c>
      <c r="N22" s="93">
        <f>DATE(E$5,10,1)</f>
        <v>44835</v>
      </c>
      <c r="O22" s="93">
        <f>DATE(E$5,11,1)</f>
        <v>44866</v>
      </c>
      <c r="P22" s="93">
        <f>DATE(E$5,12,1)</f>
        <v>44896</v>
      </c>
      <c r="Q22" s="94">
        <v>2022</v>
      </c>
      <c r="S22" s="93">
        <f>DATE(S$5,1,1)</f>
        <v>44927</v>
      </c>
      <c r="T22" s="93">
        <f>DATE(S$5,2,1)</f>
        <v>44958</v>
      </c>
      <c r="U22" s="93">
        <f>DATE(S$5,3,1)</f>
        <v>44986</v>
      </c>
      <c r="V22" s="93">
        <f>DATE(S$5,4,1)</f>
        <v>45017</v>
      </c>
      <c r="W22" s="93">
        <f>DATE(S$5,5,1)</f>
        <v>45047</v>
      </c>
      <c r="X22" s="93">
        <f>DATE(S$5,6,1)</f>
        <v>45078</v>
      </c>
      <c r="Y22" s="93">
        <f>DATE(S$5,7,1)</f>
        <v>45108</v>
      </c>
      <c r="Z22" s="93">
        <f>DATE(S$5,8,1)</f>
        <v>45139</v>
      </c>
      <c r="AA22" s="93">
        <f>DATE(S$5,9,1)</f>
        <v>45170</v>
      </c>
      <c r="AB22" s="93">
        <f>DATE(S$5,10,1)</f>
        <v>45200</v>
      </c>
      <c r="AC22" s="93">
        <f>DATE(S$5,11,1)</f>
        <v>45231</v>
      </c>
      <c r="AD22" s="93">
        <f>DATE(S$5,12,1)</f>
        <v>45261</v>
      </c>
      <c r="AE22" s="94">
        <f>Q22+1</f>
        <v>2023</v>
      </c>
      <c r="AG22" s="93">
        <f>DATE(AG$5,1,1)</f>
        <v>45292</v>
      </c>
      <c r="AH22" s="93">
        <f>DATE(AG$5,2,1)</f>
        <v>45323</v>
      </c>
      <c r="AI22" s="93">
        <f>DATE(AG$5,3,1)</f>
        <v>45352</v>
      </c>
      <c r="AJ22" s="93">
        <f>DATE(AG$5,4,1)</f>
        <v>45383</v>
      </c>
      <c r="AK22" s="93">
        <f>DATE(AG$5,5,1)</f>
        <v>45413</v>
      </c>
      <c r="AL22" s="93">
        <f>DATE(AG$5,6,1)</f>
        <v>45444</v>
      </c>
      <c r="AM22" s="93">
        <f>DATE(AG$5,7,1)</f>
        <v>45474</v>
      </c>
      <c r="AN22" s="93">
        <f>DATE(AG$5,8,1)</f>
        <v>45505</v>
      </c>
      <c r="AO22" s="93">
        <f>DATE(AG$5,9,1)</f>
        <v>45536</v>
      </c>
      <c r="AP22" s="93">
        <f>DATE(AG$5,10,1)</f>
        <v>45566</v>
      </c>
      <c r="AQ22" s="93">
        <f>DATE(AG$5,11,1)</f>
        <v>45597</v>
      </c>
      <c r="AR22" s="93">
        <f>DATE(AG$5,12,1)</f>
        <v>45627</v>
      </c>
      <c r="AS22" s="94">
        <f>AE22+1</f>
        <v>2024</v>
      </c>
      <c r="AU22" s="93">
        <f>DATE(AU$5,1,1)</f>
        <v>45658</v>
      </c>
      <c r="AV22" s="93">
        <f>DATE(AU$5,2,1)</f>
        <v>45689</v>
      </c>
      <c r="AW22" s="93">
        <f>DATE(AU$5,3,1)</f>
        <v>45717</v>
      </c>
      <c r="AX22" s="93">
        <f>DATE(AU$5,4,1)</f>
        <v>45748</v>
      </c>
      <c r="AY22" s="93">
        <f>DATE(AU$5,5,1)</f>
        <v>45778</v>
      </c>
      <c r="AZ22" s="93">
        <f>DATE(AU$5,6,1)</f>
        <v>45809</v>
      </c>
      <c r="BA22" s="93">
        <f>DATE(AU$5,7,1)</f>
        <v>45839</v>
      </c>
      <c r="BB22" s="93">
        <f>DATE(AU$5,8,1)</f>
        <v>45870</v>
      </c>
      <c r="BC22" s="93">
        <f>DATE(AU$5,9,1)</f>
        <v>45901</v>
      </c>
      <c r="BD22" s="93">
        <f>DATE(AU$5,10,1)</f>
        <v>45931</v>
      </c>
      <c r="BE22" s="93">
        <f>DATE(AU$5,11,1)</f>
        <v>45962</v>
      </c>
      <c r="BF22" s="93">
        <f>DATE(AU$5,12,1)</f>
        <v>45992</v>
      </c>
      <c r="BG22" s="94">
        <f>AS22+1</f>
        <v>2025</v>
      </c>
      <c r="BI22" s="93">
        <f>DATE(BI$5,1,1)</f>
        <v>46023</v>
      </c>
      <c r="BJ22" s="93">
        <f>DATE(BI$5,2,1)</f>
        <v>46054</v>
      </c>
      <c r="BK22" s="93">
        <f>DATE(BI$5,3,1)</f>
        <v>46082</v>
      </c>
      <c r="BL22" s="93">
        <f>DATE(BI$5,4,1)</f>
        <v>46113</v>
      </c>
      <c r="BM22" s="93">
        <f>DATE(BI$5,5,1)</f>
        <v>46143</v>
      </c>
      <c r="BN22" s="93">
        <f>DATE(BI$5,6,1)</f>
        <v>46174</v>
      </c>
      <c r="BO22" s="93">
        <f>DATE(BI$5,7,1)</f>
        <v>46204</v>
      </c>
      <c r="BP22" s="93">
        <f>DATE(BI$5,8,1)</f>
        <v>46235</v>
      </c>
      <c r="BQ22" s="93">
        <f>DATE(BI$5,9,1)</f>
        <v>46266</v>
      </c>
      <c r="BR22" s="93">
        <f>DATE(BI$5,10,1)</f>
        <v>46296</v>
      </c>
      <c r="BS22" s="93">
        <f>DATE(BI$5,11,1)</f>
        <v>46327</v>
      </c>
      <c r="BT22" s="93">
        <f>DATE(BI$5,12,1)</f>
        <v>46357</v>
      </c>
      <c r="BU22" s="94">
        <f>BG22+1</f>
        <v>2026</v>
      </c>
      <c r="BW22" s="93">
        <f>DATE(BW$5,1,1)</f>
        <v>46388</v>
      </c>
      <c r="BX22" s="93">
        <f>DATE(BW$5,2,1)</f>
        <v>46419</v>
      </c>
      <c r="BY22" s="93">
        <f>DATE(BW$5,3,1)</f>
        <v>46447</v>
      </c>
      <c r="BZ22" s="93">
        <f>DATE(BW$5,4,1)</f>
        <v>46478</v>
      </c>
      <c r="CA22" s="93">
        <f>DATE(BW$5,5,1)</f>
        <v>46508</v>
      </c>
      <c r="CB22" s="93">
        <f>DATE(BW$5,6,1)</f>
        <v>46539</v>
      </c>
      <c r="CC22" s="93">
        <f>DATE(BW$5,7,1)</f>
        <v>46569</v>
      </c>
      <c r="CD22" s="93">
        <f>DATE(BW$5,8,1)</f>
        <v>46600</v>
      </c>
      <c r="CE22" s="93">
        <f>DATE(BW$5,9,1)</f>
        <v>46631</v>
      </c>
      <c r="CF22" s="93">
        <f>DATE(BW$5,10,1)</f>
        <v>46661</v>
      </c>
      <c r="CG22" s="93">
        <f>DATE(BW$5,11,1)</f>
        <v>46692</v>
      </c>
      <c r="CH22" s="93">
        <f>DATE(BW$5,12,1)</f>
        <v>46722</v>
      </c>
      <c r="CI22" s="94">
        <f>BU22+1</f>
        <v>2027</v>
      </c>
      <c r="CK22" s="93">
        <f>DATE(CK$5,1,1)</f>
        <v>46753</v>
      </c>
      <c r="CL22" s="93">
        <f>DATE(CK$5,2,1)</f>
        <v>46784</v>
      </c>
      <c r="CM22" s="93">
        <f>DATE(CK$5,3,1)</f>
        <v>46813</v>
      </c>
      <c r="CN22" s="93">
        <f>DATE(CK$5,4,1)</f>
        <v>46844</v>
      </c>
      <c r="CO22" s="93">
        <f>DATE(CK$5,5,1)</f>
        <v>46874</v>
      </c>
      <c r="CP22" s="93">
        <f>DATE(CK$5,6,1)</f>
        <v>46905</v>
      </c>
      <c r="CQ22" s="93">
        <f>DATE(CK$5,7,1)</f>
        <v>46935</v>
      </c>
      <c r="CR22" s="93">
        <f>DATE(CK$5,8,1)</f>
        <v>46966</v>
      </c>
      <c r="CS22" s="93">
        <f>DATE(CK$5,9,1)</f>
        <v>46997</v>
      </c>
      <c r="CT22" s="93">
        <f>DATE(CK$5,10,1)</f>
        <v>47027</v>
      </c>
      <c r="CU22" s="93">
        <f>DATE(CK$5,11,1)</f>
        <v>47058</v>
      </c>
      <c r="CV22" s="93">
        <f>DATE(CK$5,12,1)</f>
        <v>47088</v>
      </c>
      <c r="CW22" s="94">
        <f>CI22+1</f>
        <v>2028</v>
      </c>
      <c r="CY22" s="93">
        <f>DATE(CY$5,1,1)</f>
        <v>47119</v>
      </c>
      <c r="CZ22" s="93">
        <f>DATE(CY$5,2,1)</f>
        <v>47150</v>
      </c>
      <c r="DA22" s="93">
        <f>DATE(CY$5,3,1)</f>
        <v>47178</v>
      </c>
      <c r="DB22" s="93">
        <f>DATE(CY$5,4,1)</f>
        <v>47209</v>
      </c>
      <c r="DC22" s="93">
        <f>DATE(CY$5,5,1)</f>
        <v>47239</v>
      </c>
      <c r="DD22" s="93">
        <f>DATE(CY$5,6,1)</f>
        <v>47270</v>
      </c>
      <c r="DE22" s="93">
        <f>DATE(CY$5,7,1)</f>
        <v>47300</v>
      </c>
      <c r="DF22" s="93">
        <f>DATE(CY$5,8,1)</f>
        <v>47331</v>
      </c>
      <c r="DG22" s="93">
        <f>DATE(CY$5,9,1)</f>
        <v>47362</v>
      </c>
      <c r="DH22" s="93">
        <f>DATE(CY$5,10,1)</f>
        <v>47392</v>
      </c>
      <c r="DI22" s="93">
        <f>DATE(CY$5,11,1)</f>
        <v>47423</v>
      </c>
      <c r="DJ22" s="93">
        <f>DATE(CY$5,12,1)</f>
        <v>47453</v>
      </c>
      <c r="DK22" s="94">
        <f>CW22+1</f>
        <v>2029</v>
      </c>
      <c r="DM22" s="93">
        <f>DATE(DM$5,1,1)</f>
        <v>47484</v>
      </c>
      <c r="DN22" s="93">
        <f>DATE(DM$5,2,1)</f>
        <v>47515</v>
      </c>
      <c r="DO22" s="93">
        <f>DATE(DM$5,3,1)</f>
        <v>47543</v>
      </c>
      <c r="DP22" s="93">
        <f>DATE(DM$5,4,1)</f>
        <v>47574</v>
      </c>
      <c r="DQ22" s="93">
        <f>DATE(DM$5,5,1)</f>
        <v>47604</v>
      </c>
      <c r="DR22" s="93">
        <f>DATE(DM$5,6,1)</f>
        <v>47635</v>
      </c>
      <c r="DS22" s="93">
        <f>DATE(DM$5,7,1)</f>
        <v>47665</v>
      </c>
      <c r="DT22" s="93">
        <f>DATE(DM$5,8,1)</f>
        <v>47696</v>
      </c>
      <c r="DU22" s="93">
        <f>DATE(DM$5,9,1)</f>
        <v>47727</v>
      </c>
      <c r="DV22" s="93">
        <f>DATE(DM$5,10,1)</f>
        <v>47757</v>
      </c>
      <c r="DW22" s="93">
        <f>DATE(DM$5,11,1)</f>
        <v>47788</v>
      </c>
      <c r="DX22" s="93">
        <f>DATE(DM$5,12,1)</f>
        <v>47818</v>
      </c>
      <c r="DY22" s="94">
        <f>DK22+1</f>
        <v>2030</v>
      </c>
    </row>
    <row r="23" spans="3:129" x14ac:dyDescent="0.3">
      <c r="C23" s="23" t="s">
        <v>13</v>
      </c>
      <c r="E23" s="20">
        <v>1200</v>
      </c>
      <c r="F23" s="20">
        <v>1200</v>
      </c>
      <c r="G23" s="20">
        <v>1200</v>
      </c>
      <c r="H23" s="20">
        <v>1200</v>
      </c>
      <c r="I23" s="20">
        <v>1200</v>
      </c>
      <c r="J23" s="20">
        <v>1200</v>
      </c>
      <c r="K23" s="20">
        <v>1200</v>
      </c>
      <c r="L23" s="20">
        <v>1200</v>
      </c>
      <c r="M23" s="20">
        <v>1200</v>
      </c>
      <c r="N23" s="20">
        <v>1200</v>
      </c>
      <c r="O23" s="20">
        <v>1200</v>
      </c>
      <c r="P23" s="20">
        <v>1200</v>
      </c>
      <c r="Q23" s="21">
        <f>SUM(E23:P23)</f>
        <v>14400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>
        <f>SUM(S23:AD23)</f>
        <v>0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1">
        <f>SUM(AG23:AR23)</f>
        <v>0</v>
      </c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1">
        <f>SUM(AU23:BF23)</f>
        <v>0</v>
      </c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1">
        <f>SUM(BI23:BT23)</f>
        <v>0</v>
      </c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1">
        <f>SUM(BW23:CH23)</f>
        <v>0</v>
      </c>
      <c r="CK23" s="20"/>
      <c r="CL23" s="20"/>
      <c r="CM23" s="95"/>
      <c r="CN23" s="20"/>
      <c r="CO23" s="20"/>
      <c r="CP23" s="20"/>
      <c r="CQ23" s="20"/>
      <c r="CR23" s="20"/>
      <c r="CS23" s="20"/>
      <c r="CT23" s="20"/>
      <c r="CU23" s="20"/>
      <c r="CV23" s="20"/>
      <c r="CW23" s="21">
        <f>SUM(CK23:CV23)</f>
        <v>0</v>
      </c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1">
        <f>SUM(CY23:DJ23)</f>
        <v>0</v>
      </c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1">
        <f>SUM(DM23:DX23)</f>
        <v>0</v>
      </c>
    </row>
    <row r="24" spans="3:129" x14ac:dyDescent="0.3">
      <c r="C24" s="23" t="s">
        <v>14</v>
      </c>
      <c r="E24" s="20">
        <v>300</v>
      </c>
      <c r="F24" s="20">
        <v>300</v>
      </c>
      <c r="G24" s="20">
        <v>300</v>
      </c>
      <c r="H24" s="20">
        <v>300</v>
      </c>
      <c r="I24" s="20">
        <v>300</v>
      </c>
      <c r="J24" s="20">
        <v>300</v>
      </c>
      <c r="K24" s="20">
        <v>300</v>
      </c>
      <c r="L24" s="20">
        <v>300</v>
      </c>
      <c r="M24" s="20">
        <v>300</v>
      </c>
      <c r="N24" s="20">
        <v>300</v>
      </c>
      <c r="O24" s="20">
        <v>300</v>
      </c>
      <c r="P24" s="20">
        <v>300</v>
      </c>
      <c r="Q24" s="21">
        <f t="shared" ref="Q24:Q33" si="18">SUM(E24:P24)</f>
        <v>3600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>
        <f t="shared" ref="AE24:AE33" si="19">SUM(S24:AD24)</f>
        <v>0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1">
        <f t="shared" ref="AS24:AS33" si="20">SUM(AG24:AR24)</f>
        <v>0</v>
      </c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1">
        <f t="shared" ref="BG24:BG33" si="21">SUM(AU24:BF24)</f>
        <v>0</v>
      </c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1">
        <f t="shared" ref="BU24:BU33" si="22">SUM(BI24:BT24)</f>
        <v>0</v>
      </c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1">
        <f t="shared" ref="CI24:CI33" si="23">SUM(BW24:CH24)</f>
        <v>0</v>
      </c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1">
        <f t="shared" ref="CW24:CW33" si="24">SUM(CK24:CV24)</f>
        <v>0</v>
      </c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1">
        <f t="shared" ref="DK24:DK33" si="25">SUM(CY24:DJ24)</f>
        <v>0</v>
      </c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1">
        <f t="shared" ref="DY24:DY33" si="26">SUM(DM24:DX24)</f>
        <v>0</v>
      </c>
    </row>
    <row r="25" spans="3:129" x14ac:dyDescent="0.3">
      <c r="C25" s="23" t="s">
        <v>15</v>
      </c>
      <c r="E25" s="20">
        <v>350</v>
      </c>
      <c r="F25" s="20">
        <v>350</v>
      </c>
      <c r="G25" s="20">
        <v>350</v>
      </c>
      <c r="H25" s="20">
        <v>350</v>
      </c>
      <c r="I25" s="20">
        <v>350</v>
      </c>
      <c r="J25" s="20">
        <v>350</v>
      </c>
      <c r="K25" s="20">
        <v>350</v>
      </c>
      <c r="L25" s="20">
        <v>350</v>
      </c>
      <c r="M25" s="20">
        <v>350</v>
      </c>
      <c r="N25" s="20">
        <v>350</v>
      </c>
      <c r="O25" s="20">
        <v>350</v>
      </c>
      <c r="P25" s="20">
        <v>350</v>
      </c>
      <c r="Q25" s="21">
        <f t="shared" si="18"/>
        <v>4200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>
        <f t="shared" si="19"/>
        <v>0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1">
        <f t="shared" si="20"/>
        <v>0</v>
      </c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1">
        <f t="shared" si="21"/>
        <v>0</v>
      </c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1">
        <f t="shared" si="22"/>
        <v>0</v>
      </c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1">
        <f t="shared" si="23"/>
        <v>0</v>
      </c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1">
        <f t="shared" si="24"/>
        <v>0</v>
      </c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1">
        <f t="shared" si="25"/>
        <v>0</v>
      </c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1">
        <f t="shared" si="26"/>
        <v>0</v>
      </c>
    </row>
    <row r="26" spans="3:129" x14ac:dyDescent="0.3">
      <c r="C26" s="24" t="s">
        <v>23</v>
      </c>
      <c r="E26" s="20">
        <v>300</v>
      </c>
      <c r="F26" s="20">
        <v>300</v>
      </c>
      <c r="G26" s="20">
        <v>300</v>
      </c>
      <c r="H26" s="20">
        <v>300</v>
      </c>
      <c r="I26" s="20">
        <v>300</v>
      </c>
      <c r="J26" s="20">
        <v>300</v>
      </c>
      <c r="K26" s="20">
        <v>300</v>
      </c>
      <c r="L26" s="20">
        <v>300</v>
      </c>
      <c r="M26" s="20">
        <v>300</v>
      </c>
      <c r="N26" s="20">
        <v>300</v>
      </c>
      <c r="O26" s="20">
        <v>300</v>
      </c>
      <c r="P26" s="20">
        <v>300</v>
      </c>
      <c r="Q26" s="21">
        <f>SUM(E26:P26)</f>
        <v>3600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>
        <f t="shared" si="19"/>
        <v>0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1">
        <f t="shared" si="20"/>
        <v>0</v>
      </c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1">
        <f t="shared" si="21"/>
        <v>0</v>
      </c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1">
        <f t="shared" si="22"/>
        <v>0</v>
      </c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1">
        <f t="shared" si="23"/>
        <v>0</v>
      </c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1">
        <f t="shared" si="24"/>
        <v>0</v>
      </c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1">
        <f t="shared" si="25"/>
        <v>0</v>
      </c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1">
        <f t="shared" si="26"/>
        <v>0</v>
      </c>
    </row>
    <row r="27" spans="3:129" x14ac:dyDescent="0.3">
      <c r="C27" s="24" t="s">
        <v>24</v>
      </c>
      <c r="E27" s="20">
        <v>0</v>
      </c>
      <c r="F27" s="20">
        <v>0</v>
      </c>
      <c r="G27" s="20">
        <v>150</v>
      </c>
      <c r="H27" s="20">
        <v>0</v>
      </c>
      <c r="I27" s="20">
        <v>0</v>
      </c>
      <c r="J27" s="20">
        <v>150</v>
      </c>
      <c r="K27" s="20">
        <v>0</v>
      </c>
      <c r="L27" s="20">
        <v>0</v>
      </c>
      <c r="M27" s="20">
        <v>150</v>
      </c>
      <c r="N27" s="20">
        <v>0</v>
      </c>
      <c r="O27" s="20">
        <v>0</v>
      </c>
      <c r="P27" s="20">
        <v>150</v>
      </c>
      <c r="Q27" s="21">
        <f t="shared" si="18"/>
        <v>600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>
        <f t="shared" si="19"/>
        <v>0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1">
        <f t="shared" si="20"/>
        <v>0</v>
      </c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1">
        <f t="shared" si="21"/>
        <v>0</v>
      </c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1">
        <f t="shared" si="22"/>
        <v>0</v>
      </c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1">
        <f t="shared" si="23"/>
        <v>0</v>
      </c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1">
        <f t="shared" si="24"/>
        <v>0</v>
      </c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1">
        <f t="shared" si="25"/>
        <v>0</v>
      </c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1">
        <f t="shared" si="26"/>
        <v>0</v>
      </c>
    </row>
    <row r="28" spans="3:129" x14ac:dyDescent="0.3">
      <c r="C28" s="24" t="s">
        <v>25</v>
      </c>
      <c r="E28" s="20">
        <v>200</v>
      </c>
      <c r="F28" s="20">
        <v>200</v>
      </c>
      <c r="G28" s="20">
        <v>200</v>
      </c>
      <c r="H28" s="20">
        <v>200</v>
      </c>
      <c r="I28" s="20">
        <v>200</v>
      </c>
      <c r="J28" s="20">
        <v>200</v>
      </c>
      <c r="K28" s="20">
        <v>200</v>
      </c>
      <c r="L28" s="20">
        <v>200</v>
      </c>
      <c r="M28" s="20">
        <v>200</v>
      </c>
      <c r="N28" s="20">
        <v>200</v>
      </c>
      <c r="O28" s="20">
        <v>200</v>
      </c>
      <c r="P28" s="20">
        <v>200</v>
      </c>
      <c r="Q28" s="21">
        <f t="shared" si="18"/>
        <v>2400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>
        <f t="shared" si="19"/>
        <v>0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1">
        <f t="shared" si="20"/>
        <v>0</v>
      </c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1">
        <f t="shared" si="21"/>
        <v>0</v>
      </c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1">
        <f t="shared" si="22"/>
        <v>0</v>
      </c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1">
        <f t="shared" si="23"/>
        <v>0</v>
      </c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1">
        <f t="shared" si="24"/>
        <v>0</v>
      </c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1">
        <f t="shared" si="25"/>
        <v>0</v>
      </c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1">
        <f t="shared" si="26"/>
        <v>0</v>
      </c>
    </row>
    <row r="29" spans="3:129" x14ac:dyDescent="0.3">
      <c r="C29" s="24" t="s">
        <v>26</v>
      </c>
      <c r="E29" s="20">
        <v>200</v>
      </c>
      <c r="F29" s="20">
        <v>200</v>
      </c>
      <c r="G29" s="20">
        <v>200</v>
      </c>
      <c r="H29" s="20">
        <v>200</v>
      </c>
      <c r="I29" s="20">
        <v>200</v>
      </c>
      <c r="J29" s="20">
        <v>200</v>
      </c>
      <c r="K29" s="20">
        <v>200</v>
      </c>
      <c r="L29" s="20">
        <v>200</v>
      </c>
      <c r="M29" s="20">
        <v>200</v>
      </c>
      <c r="N29" s="20">
        <v>200</v>
      </c>
      <c r="O29" s="20">
        <v>200</v>
      </c>
      <c r="P29" s="20">
        <v>200</v>
      </c>
      <c r="Q29" s="21">
        <f t="shared" si="18"/>
        <v>2400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1">
        <f t="shared" si="19"/>
        <v>0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1">
        <f t="shared" si="20"/>
        <v>0</v>
      </c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1">
        <f t="shared" si="21"/>
        <v>0</v>
      </c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1">
        <f t="shared" si="22"/>
        <v>0</v>
      </c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1">
        <f t="shared" si="23"/>
        <v>0</v>
      </c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1">
        <f t="shared" si="24"/>
        <v>0</v>
      </c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1">
        <f t="shared" si="25"/>
        <v>0</v>
      </c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1">
        <f t="shared" si="26"/>
        <v>0</v>
      </c>
    </row>
    <row r="30" spans="3:129" x14ac:dyDescent="0.3">
      <c r="C30" s="24" t="s">
        <v>27</v>
      </c>
      <c r="E30" s="20">
        <v>50</v>
      </c>
      <c r="F30" s="20">
        <v>50</v>
      </c>
      <c r="G30" s="20">
        <v>50</v>
      </c>
      <c r="H30" s="20">
        <v>50</v>
      </c>
      <c r="I30" s="20">
        <v>50</v>
      </c>
      <c r="J30" s="20">
        <v>50</v>
      </c>
      <c r="K30" s="20">
        <v>50</v>
      </c>
      <c r="L30" s="20">
        <v>50</v>
      </c>
      <c r="M30" s="20">
        <v>50</v>
      </c>
      <c r="N30" s="20">
        <v>50</v>
      </c>
      <c r="O30" s="20">
        <v>50</v>
      </c>
      <c r="P30" s="20">
        <v>50</v>
      </c>
      <c r="Q30" s="21">
        <f t="shared" si="18"/>
        <v>600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>
        <f t="shared" si="19"/>
        <v>0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1">
        <f t="shared" si="20"/>
        <v>0</v>
      </c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1">
        <f t="shared" si="21"/>
        <v>0</v>
      </c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1">
        <f t="shared" si="22"/>
        <v>0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1">
        <f t="shared" si="23"/>
        <v>0</v>
      </c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1">
        <f t="shared" si="24"/>
        <v>0</v>
      </c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1">
        <f t="shared" si="25"/>
        <v>0</v>
      </c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1">
        <f t="shared" si="26"/>
        <v>0</v>
      </c>
    </row>
    <row r="31" spans="3:129" x14ac:dyDescent="0.3">
      <c r="C31" s="24" t="s">
        <v>28</v>
      </c>
      <c r="E31" s="20">
        <v>300</v>
      </c>
      <c r="F31" s="20">
        <v>300</v>
      </c>
      <c r="G31" s="20">
        <v>300</v>
      </c>
      <c r="H31" s="20">
        <v>1200</v>
      </c>
      <c r="I31" s="20">
        <v>300</v>
      </c>
      <c r="J31" s="20">
        <v>300</v>
      </c>
      <c r="K31" s="20">
        <v>300</v>
      </c>
      <c r="L31" s="20">
        <v>1500</v>
      </c>
      <c r="M31" s="20">
        <v>300</v>
      </c>
      <c r="N31" s="20">
        <v>300</v>
      </c>
      <c r="O31" s="20">
        <v>300</v>
      </c>
      <c r="P31" s="20">
        <v>600</v>
      </c>
      <c r="Q31" s="21">
        <f t="shared" si="18"/>
        <v>6000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>
        <f t="shared" si="19"/>
        <v>0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1">
        <f t="shared" si="20"/>
        <v>0</v>
      </c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1">
        <f t="shared" si="21"/>
        <v>0</v>
      </c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1">
        <f t="shared" si="22"/>
        <v>0</v>
      </c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1">
        <f t="shared" si="23"/>
        <v>0</v>
      </c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1">
        <f t="shared" si="24"/>
        <v>0</v>
      </c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1">
        <f t="shared" si="25"/>
        <v>0</v>
      </c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1">
        <f t="shared" si="26"/>
        <v>0</v>
      </c>
    </row>
    <row r="32" spans="3:129" hidden="1" x14ac:dyDescent="0.3">
      <c r="C32" s="23" t="s">
        <v>7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1">
        <f t="shared" si="18"/>
        <v>0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1">
        <f t="shared" si="19"/>
        <v>0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1">
        <f t="shared" si="20"/>
        <v>0</v>
      </c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1">
        <f t="shared" si="21"/>
        <v>0</v>
      </c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1">
        <f t="shared" si="22"/>
        <v>0</v>
      </c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1">
        <f t="shared" si="23"/>
        <v>0</v>
      </c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1">
        <f t="shared" si="24"/>
        <v>0</v>
      </c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1">
        <f t="shared" si="25"/>
        <v>0</v>
      </c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1">
        <f t="shared" si="26"/>
        <v>0</v>
      </c>
    </row>
    <row r="33" spans="3:129" x14ac:dyDescent="0.3">
      <c r="C33" s="16" t="s">
        <v>8</v>
      </c>
      <c r="E33" s="21" cm="1">
        <f t="array" aca="1" ref="E33" ca="1">SUM(INDIRECT(ADDRESS(expenses_min_row,COLUMN()) &amp; ":" &amp; ADDRESS(expenses_max_row, COLUMN())))</f>
        <v>2900</v>
      </c>
      <c r="F33" s="21" cm="1">
        <f t="array" aca="1" ref="F33" ca="1">SUM(INDIRECT(ADDRESS(expenses_min_row,COLUMN()) &amp; ":" &amp; ADDRESS(expenses_max_row, COLUMN())))</f>
        <v>2900</v>
      </c>
      <c r="G33" s="21" cm="1">
        <f t="array" aca="1" ref="G33" ca="1">SUM(INDIRECT(ADDRESS(expenses_min_row,COLUMN()) &amp; ":" &amp; ADDRESS(expenses_max_row, COLUMN())))</f>
        <v>3050</v>
      </c>
      <c r="H33" s="21" cm="1">
        <f t="array" aca="1" ref="H33" ca="1">SUM(INDIRECT(ADDRESS(expenses_min_row,COLUMN()) &amp; ":" &amp; ADDRESS(expenses_max_row, COLUMN())))</f>
        <v>3800</v>
      </c>
      <c r="I33" s="21" cm="1">
        <f t="array" aca="1" ref="I33" ca="1">SUM(INDIRECT(ADDRESS(expenses_min_row,COLUMN()) &amp; ":" &amp; ADDRESS(expenses_max_row, COLUMN())))</f>
        <v>2900</v>
      </c>
      <c r="J33" s="21" cm="1">
        <f t="array" aca="1" ref="J33" ca="1">SUM(INDIRECT(ADDRESS(expenses_min_row,COLUMN()) &amp; ":" &amp; ADDRESS(expenses_max_row, COLUMN())))</f>
        <v>3050</v>
      </c>
      <c r="K33" s="21" cm="1">
        <f t="array" aca="1" ref="K33" ca="1">SUM(INDIRECT(ADDRESS(expenses_min_row,COLUMN()) &amp; ":" &amp; ADDRESS(expenses_max_row, COLUMN())))</f>
        <v>2900</v>
      </c>
      <c r="L33" s="21" cm="1">
        <f t="array" aca="1" ref="L33" ca="1">SUM(INDIRECT(ADDRESS(expenses_min_row,COLUMN()) &amp; ":" &amp; ADDRESS(expenses_max_row, COLUMN())))</f>
        <v>4100</v>
      </c>
      <c r="M33" s="21" cm="1">
        <f t="array" aca="1" ref="M33" ca="1">SUM(INDIRECT(ADDRESS(expenses_min_row,COLUMN()) &amp; ":" &amp; ADDRESS(expenses_max_row, COLUMN())))</f>
        <v>3050</v>
      </c>
      <c r="N33" s="21" cm="1">
        <f t="array" aca="1" ref="N33" ca="1">SUM(INDIRECT(ADDRESS(expenses_min_row,COLUMN()) &amp; ":" &amp; ADDRESS(expenses_max_row, COLUMN())))</f>
        <v>2900</v>
      </c>
      <c r="O33" s="21" cm="1">
        <f t="array" aca="1" ref="O33" ca="1">SUM(INDIRECT(ADDRESS(expenses_min_row,COLUMN()) &amp; ":" &amp; ADDRESS(expenses_max_row, COLUMN())))</f>
        <v>2900</v>
      </c>
      <c r="P33" s="21" cm="1">
        <f t="array" aca="1" ref="P33" ca="1">SUM(INDIRECT(ADDRESS(expenses_min_row,COLUMN()) &amp; ":" &amp; ADDRESS(expenses_max_row, COLUMN())))</f>
        <v>3350</v>
      </c>
      <c r="Q33" s="21">
        <f t="shared" ca="1" si="18"/>
        <v>37800</v>
      </c>
      <c r="S33" s="21" cm="1">
        <f t="array" aca="1" ref="S33" ca="1">SUM(INDIRECT(ADDRESS(expenses_min_row,COLUMN()) &amp; ":" &amp; ADDRESS(expenses_max_row, COLUMN())))</f>
        <v>0</v>
      </c>
      <c r="T33" s="21" cm="1">
        <f t="array" aca="1" ref="T33" ca="1">SUM(INDIRECT(ADDRESS(expenses_min_row,COLUMN()) &amp; ":" &amp; ADDRESS(expenses_max_row, COLUMN())))</f>
        <v>0</v>
      </c>
      <c r="U33" s="21" cm="1">
        <f t="array" aca="1" ref="U33" ca="1">SUM(INDIRECT(ADDRESS(expenses_min_row,COLUMN()) &amp; ":" &amp; ADDRESS(expenses_max_row, COLUMN())))</f>
        <v>0</v>
      </c>
      <c r="V33" s="21" cm="1">
        <f t="array" aca="1" ref="V33" ca="1">SUM(INDIRECT(ADDRESS(expenses_min_row,COLUMN()) &amp; ":" &amp; ADDRESS(expenses_max_row, COLUMN())))</f>
        <v>0</v>
      </c>
      <c r="W33" s="21" cm="1">
        <f t="array" aca="1" ref="W33" ca="1">SUM(INDIRECT(ADDRESS(expenses_min_row,COLUMN()) &amp; ":" &amp; ADDRESS(expenses_max_row, COLUMN())))</f>
        <v>0</v>
      </c>
      <c r="X33" s="21" cm="1">
        <f t="array" aca="1" ref="X33" ca="1">SUM(INDIRECT(ADDRESS(expenses_min_row,COLUMN()) &amp; ":" &amp; ADDRESS(expenses_max_row, COLUMN())))</f>
        <v>0</v>
      </c>
      <c r="Y33" s="21" cm="1">
        <f t="array" aca="1" ref="Y33" ca="1">SUM(INDIRECT(ADDRESS(expenses_min_row,COLUMN()) &amp; ":" &amp; ADDRESS(expenses_max_row, COLUMN())))</f>
        <v>0</v>
      </c>
      <c r="Z33" s="21" cm="1">
        <f t="array" aca="1" ref="Z33" ca="1">SUM(INDIRECT(ADDRESS(expenses_min_row,COLUMN()) &amp; ":" &amp; ADDRESS(expenses_max_row, COLUMN())))</f>
        <v>0</v>
      </c>
      <c r="AA33" s="21" cm="1">
        <f t="array" aca="1" ref="AA33" ca="1">SUM(INDIRECT(ADDRESS(expenses_min_row,COLUMN()) &amp; ":" &amp; ADDRESS(expenses_max_row, COLUMN())))</f>
        <v>0</v>
      </c>
      <c r="AB33" s="21" cm="1">
        <f t="array" aca="1" ref="AB33" ca="1">SUM(INDIRECT(ADDRESS(expenses_min_row,COLUMN()) &amp; ":" &amp; ADDRESS(expenses_max_row, COLUMN())))</f>
        <v>0</v>
      </c>
      <c r="AC33" s="21" cm="1">
        <f t="array" aca="1" ref="AC33" ca="1">SUM(INDIRECT(ADDRESS(expenses_min_row,COLUMN()) &amp; ":" &amp; ADDRESS(expenses_max_row, COLUMN())))</f>
        <v>0</v>
      </c>
      <c r="AD33" s="21" cm="1">
        <f t="array" aca="1" ref="AD33" ca="1">SUM(INDIRECT(ADDRESS(expenses_min_row,COLUMN()) &amp; ":" &amp; ADDRESS(expenses_max_row, COLUMN())))</f>
        <v>0</v>
      </c>
      <c r="AE33" s="21">
        <f t="shared" ca="1" si="19"/>
        <v>0</v>
      </c>
      <c r="AG33" s="21" cm="1">
        <f t="array" aca="1" ref="AG33" ca="1">SUM(INDIRECT(ADDRESS(expenses_min_row,COLUMN()) &amp; ":" &amp; ADDRESS(expenses_max_row, COLUMN())))</f>
        <v>0</v>
      </c>
      <c r="AH33" s="21" cm="1">
        <f t="array" aca="1" ref="AH33" ca="1">SUM(INDIRECT(ADDRESS(expenses_min_row,COLUMN()) &amp; ":" &amp; ADDRESS(expenses_max_row, COLUMN())))</f>
        <v>0</v>
      </c>
      <c r="AI33" s="21" cm="1">
        <f t="array" aca="1" ref="AI33" ca="1">SUM(INDIRECT(ADDRESS(expenses_min_row,COLUMN()) &amp; ":" &amp; ADDRESS(expenses_max_row, COLUMN())))</f>
        <v>0</v>
      </c>
      <c r="AJ33" s="21" cm="1">
        <f t="array" aca="1" ref="AJ33" ca="1">SUM(INDIRECT(ADDRESS(expenses_min_row,COLUMN()) &amp; ":" &amp; ADDRESS(expenses_max_row, COLUMN())))</f>
        <v>0</v>
      </c>
      <c r="AK33" s="21" cm="1">
        <f t="array" aca="1" ref="AK33" ca="1">SUM(INDIRECT(ADDRESS(expenses_min_row,COLUMN()) &amp; ":" &amp; ADDRESS(expenses_max_row, COLUMN())))</f>
        <v>0</v>
      </c>
      <c r="AL33" s="21" cm="1">
        <f t="array" aca="1" ref="AL33" ca="1">SUM(INDIRECT(ADDRESS(expenses_min_row,COLUMN()) &amp; ":" &amp; ADDRESS(expenses_max_row, COLUMN())))</f>
        <v>0</v>
      </c>
      <c r="AM33" s="21" cm="1">
        <f t="array" aca="1" ref="AM33" ca="1">SUM(INDIRECT(ADDRESS(expenses_min_row,COLUMN()) &amp; ":" &amp; ADDRESS(expenses_max_row, COLUMN())))</f>
        <v>0</v>
      </c>
      <c r="AN33" s="21" cm="1">
        <f t="array" aca="1" ref="AN33" ca="1">SUM(INDIRECT(ADDRESS(expenses_min_row,COLUMN()) &amp; ":" &amp; ADDRESS(expenses_max_row, COLUMN())))</f>
        <v>0</v>
      </c>
      <c r="AO33" s="21" cm="1">
        <f t="array" aca="1" ref="AO33" ca="1">SUM(INDIRECT(ADDRESS(expenses_min_row,COLUMN()) &amp; ":" &amp; ADDRESS(expenses_max_row, COLUMN())))</f>
        <v>0</v>
      </c>
      <c r="AP33" s="21" cm="1">
        <f t="array" aca="1" ref="AP33" ca="1">SUM(INDIRECT(ADDRESS(expenses_min_row,COLUMN()) &amp; ":" &amp; ADDRESS(expenses_max_row, COLUMN())))</f>
        <v>0</v>
      </c>
      <c r="AQ33" s="21" cm="1">
        <f t="array" aca="1" ref="AQ33" ca="1">SUM(INDIRECT(ADDRESS(expenses_min_row,COLUMN()) &amp; ":" &amp; ADDRESS(expenses_max_row, COLUMN())))</f>
        <v>0</v>
      </c>
      <c r="AR33" s="21" cm="1">
        <f t="array" aca="1" ref="AR33" ca="1">SUM(INDIRECT(ADDRESS(expenses_min_row,COLUMN()) &amp; ":" &amp; ADDRESS(expenses_max_row, COLUMN())))</f>
        <v>0</v>
      </c>
      <c r="AS33" s="21">
        <f t="shared" ca="1" si="20"/>
        <v>0</v>
      </c>
      <c r="AU33" s="21" cm="1">
        <f t="array" aca="1" ref="AU33" ca="1">SUM(INDIRECT(ADDRESS(expenses_min_row,COLUMN()) &amp; ":" &amp; ADDRESS(expenses_max_row, COLUMN())))</f>
        <v>0</v>
      </c>
      <c r="AV33" s="21" cm="1">
        <f t="array" aca="1" ref="AV33" ca="1">SUM(INDIRECT(ADDRESS(expenses_min_row,COLUMN()) &amp; ":" &amp; ADDRESS(expenses_max_row, COLUMN())))</f>
        <v>0</v>
      </c>
      <c r="AW33" s="21" cm="1">
        <f t="array" aca="1" ref="AW33" ca="1">SUM(INDIRECT(ADDRESS(expenses_min_row,COLUMN()) &amp; ":" &amp; ADDRESS(expenses_max_row, COLUMN())))</f>
        <v>0</v>
      </c>
      <c r="AX33" s="21" cm="1">
        <f t="array" aca="1" ref="AX33" ca="1">SUM(INDIRECT(ADDRESS(expenses_min_row,COLUMN()) &amp; ":" &amp; ADDRESS(expenses_max_row, COLUMN())))</f>
        <v>0</v>
      </c>
      <c r="AY33" s="21" cm="1">
        <f t="array" aca="1" ref="AY33" ca="1">SUM(INDIRECT(ADDRESS(expenses_min_row,COLUMN()) &amp; ":" &amp; ADDRESS(expenses_max_row, COLUMN())))</f>
        <v>0</v>
      </c>
      <c r="AZ33" s="21" cm="1">
        <f t="array" aca="1" ref="AZ33" ca="1">SUM(INDIRECT(ADDRESS(expenses_min_row,COLUMN()) &amp; ":" &amp; ADDRESS(expenses_max_row, COLUMN())))</f>
        <v>0</v>
      </c>
      <c r="BA33" s="21" cm="1">
        <f t="array" aca="1" ref="BA33" ca="1">SUM(INDIRECT(ADDRESS(expenses_min_row,COLUMN()) &amp; ":" &amp; ADDRESS(expenses_max_row, COLUMN())))</f>
        <v>0</v>
      </c>
      <c r="BB33" s="21" cm="1">
        <f t="array" aca="1" ref="BB33" ca="1">SUM(INDIRECT(ADDRESS(expenses_min_row,COLUMN()) &amp; ":" &amp; ADDRESS(expenses_max_row, COLUMN())))</f>
        <v>0</v>
      </c>
      <c r="BC33" s="21" cm="1">
        <f t="array" aca="1" ref="BC33" ca="1">SUM(INDIRECT(ADDRESS(expenses_min_row,COLUMN()) &amp; ":" &amp; ADDRESS(expenses_max_row, COLUMN())))</f>
        <v>0</v>
      </c>
      <c r="BD33" s="21" cm="1">
        <f t="array" aca="1" ref="BD33" ca="1">SUM(INDIRECT(ADDRESS(expenses_min_row,COLUMN()) &amp; ":" &amp; ADDRESS(expenses_max_row, COLUMN())))</f>
        <v>0</v>
      </c>
      <c r="BE33" s="21" cm="1">
        <f t="array" aca="1" ref="BE33" ca="1">SUM(INDIRECT(ADDRESS(expenses_min_row,COLUMN()) &amp; ":" &amp; ADDRESS(expenses_max_row, COLUMN())))</f>
        <v>0</v>
      </c>
      <c r="BF33" s="21" cm="1">
        <f t="array" aca="1" ref="BF33" ca="1">SUM(INDIRECT(ADDRESS(expenses_min_row,COLUMN()) &amp; ":" &amp; ADDRESS(expenses_max_row, COLUMN())))</f>
        <v>0</v>
      </c>
      <c r="BG33" s="21">
        <f t="shared" ca="1" si="21"/>
        <v>0</v>
      </c>
      <c r="BI33" s="21" cm="1">
        <f t="array" aca="1" ref="BI33" ca="1">SUM(INDIRECT(ADDRESS(expenses_min_row,COLUMN()) &amp; ":" &amp; ADDRESS(expenses_max_row, COLUMN())))</f>
        <v>0</v>
      </c>
      <c r="BJ33" s="21" cm="1">
        <f t="array" aca="1" ref="BJ33" ca="1">SUM(INDIRECT(ADDRESS(expenses_min_row,COLUMN()) &amp; ":" &amp; ADDRESS(expenses_max_row, COLUMN())))</f>
        <v>0</v>
      </c>
      <c r="BK33" s="21" cm="1">
        <f t="array" aca="1" ref="BK33" ca="1">SUM(INDIRECT(ADDRESS(expenses_min_row,COLUMN()) &amp; ":" &amp; ADDRESS(expenses_max_row, COLUMN())))</f>
        <v>0</v>
      </c>
      <c r="BL33" s="21" cm="1">
        <f t="array" aca="1" ref="BL33" ca="1">SUM(INDIRECT(ADDRESS(expenses_min_row,COLUMN()) &amp; ":" &amp; ADDRESS(expenses_max_row, COLUMN())))</f>
        <v>0</v>
      </c>
      <c r="BM33" s="21" cm="1">
        <f t="array" aca="1" ref="BM33" ca="1">SUM(INDIRECT(ADDRESS(expenses_min_row,COLUMN()) &amp; ":" &amp; ADDRESS(expenses_max_row, COLUMN())))</f>
        <v>0</v>
      </c>
      <c r="BN33" s="21" cm="1">
        <f t="array" aca="1" ref="BN33" ca="1">SUM(INDIRECT(ADDRESS(expenses_min_row,COLUMN()) &amp; ":" &amp; ADDRESS(expenses_max_row, COLUMN())))</f>
        <v>0</v>
      </c>
      <c r="BO33" s="21" cm="1">
        <f t="array" aca="1" ref="BO33" ca="1">SUM(INDIRECT(ADDRESS(expenses_min_row,COLUMN()) &amp; ":" &amp; ADDRESS(expenses_max_row, COLUMN())))</f>
        <v>0</v>
      </c>
      <c r="BP33" s="21" cm="1">
        <f t="array" aca="1" ref="BP33" ca="1">SUM(INDIRECT(ADDRESS(expenses_min_row,COLUMN()) &amp; ":" &amp; ADDRESS(expenses_max_row, COLUMN())))</f>
        <v>0</v>
      </c>
      <c r="BQ33" s="21" cm="1">
        <f t="array" aca="1" ref="BQ33" ca="1">SUM(INDIRECT(ADDRESS(expenses_min_row,COLUMN()) &amp; ":" &amp; ADDRESS(expenses_max_row, COLUMN())))</f>
        <v>0</v>
      </c>
      <c r="BR33" s="21" cm="1">
        <f t="array" aca="1" ref="BR33" ca="1">SUM(INDIRECT(ADDRESS(expenses_min_row,COLUMN()) &amp; ":" &amp; ADDRESS(expenses_max_row, COLUMN())))</f>
        <v>0</v>
      </c>
      <c r="BS33" s="21" cm="1">
        <f t="array" aca="1" ref="BS33" ca="1">SUM(INDIRECT(ADDRESS(expenses_min_row,COLUMN()) &amp; ":" &amp; ADDRESS(expenses_max_row, COLUMN())))</f>
        <v>0</v>
      </c>
      <c r="BT33" s="21" cm="1">
        <f t="array" aca="1" ref="BT33" ca="1">SUM(INDIRECT(ADDRESS(expenses_min_row,COLUMN()) &amp; ":" &amp; ADDRESS(expenses_max_row, COLUMN())))</f>
        <v>0</v>
      </c>
      <c r="BU33" s="21">
        <f t="shared" ca="1" si="22"/>
        <v>0</v>
      </c>
      <c r="BW33" s="21" cm="1">
        <f t="array" aca="1" ref="BW33" ca="1">SUM(INDIRECT(ADDRESS(expenses_min_row,COLUMN()) &amp; ":" &amp; ADDRESS(expenses_max_row, COLUMN())))</f>
        <v>0</v>
      </c>
      <c r="BX33" s="21" cm="1">
        <f t="array" aca="1" ref="BX33" ca="1">SUM(INDIRECT(ADDRESS(expenses_min_row,COLUMN()) &amp; ":" &amp; ADDRESS(expenses_max_row, COLUMN())))</f>
        <v>0</v>
      </c>
      <c r="BY33" s="21" cm="1">
        <f t="array" aca="1" ref="BY33" ca="1">SUM(INDIRECT(ADDRESS(expenses_min_row,COLUMN()) &amp; ":" &amp; ADDRESS(expenses_max_row, COLUMN())))</f>
        <v>0</v>
      </c>
      <c r="BZ33" s="21" cm="1">
        <f t="array" aca="1" ref="BZ33" ca="1">SUM(INDIRECT(ADDRESS(expenses_min_row,COLUMN()) &amp; ":" &amp; ADDRESS(expenses_max_row, COLUMN())))</f>
        <v>0</v>
      </c>
      <c r="CA33" s="21" cm="1">
        <f t="array" aca="1" ref="CA33" ca="1">SUM(INDIRECT(ADDRESS(expenses_min_row,COLUMN()) &amp; ":" &amp; ADDRESS(expenses_max_row, COLUMN())))</f>
        <v>0</v>
      </c>
      <c r="CB33" s="21" cm="1">
        <f t="array" aca="1" ref="CB33" ca="1">SUM(INDIRECT(ADDRESS(expenses_min_row,COLUMN()) &amp; ":" &amp; ADDRESS(expenses_max_row, COLUMN())))</f>
        <v>0</v>
      </c>
      <c r="CC33" s="21" cm="1">
        <f t="array" aca="1" ref="CC33" ca="1">SUM(INDIRECT(ADDRESS(expenses_min_row,COLUMN()) &amp; ":" &amp; ADDRESS(expenses_max_row, COLUMN())))</f>
        <v>0</v>
      </c>
      <c r="CD33" s="21" cm="1">
        <f t="array" aca="1" ref="CD33" ca="1">SUM(INDIRECT(ADDRESS(expenses_min_row,COLUMN()) &amp; ":" &amp; ADDRESS(expenses_max_row, COLUMN())))</f>
        <v>0</v>
      </c>
      <c r="CE33" s="21" cm="1">
        <f t="array" aca="1" ref="CE33" ca="1">SUM(INDIRECT(ADDRESS(expenses_min_row,COLUMN()) &amp; ":" &amp; ADDRESS(expenses_max_row, COLUMN())))</f>
        <v>0</v>
      </c>
      <c r="CF33" s="21" cm="1">
        <f t="array" aca="1" ref="CF33" ca="1">SUM(INDIRECT(ADDRESS(expenses_min_row,COLUMN()) &amp; ":" &amp; ADDRESS(expenses_max_row, COLUMN())))</f>
        <v>0</v>
      </c>
      <c r="CG33" s="21" cm="1">
        <f t="array" aca="1" ref="CG33" ca="1">SUM(INDIRECT(ADDRESS(expenses_min_row,COLUMN()) &amp; ":" &amp; ADDRESS(expenses_max_row, COLUMN())))</f>
        <v>0</v>
      </c>
      <c r="CH33" s="21" cm="1">
        <f t="array" aca="1" ref="CH33" ca="1">SUM(INDIRECT(ADDRESS(expenses_min_row,COLUMN()) &amp; ":" &amp; ADDRESS(expenses_max_row, COLUMN())))</f>
        <v>0</v>
      </c>
      <c r="CI33" s="21">
        <f t="shared" ca="1" si="23"/>
        <v>0</v>
      </c>
      <c r="CK33" s="21" cm="1">
        <f t="array" aca="1" ref="CK33" ca="1">SUM(INDIRECT(ADDRESS(expenses_min_row,COLUMN()) &amp; ":" &amp; ADDRESS(expenses_max_row, COLUMN())))</f>
        <v>0</v>
      </c>
      <c r="CL33" s="21" cm="1">
        <f t="array" aca="1" ref="CL33" ca="1">SUM(INDIRECT(ADDRESS(expenses_min_row,COLUMN()) &amp; ":" &amp; ADDRESS(expenses_max_row, COLUMN())))</f>
        <v>0</v>
      </c>
      <c r="CM33" s="21" cm="1">
        <f t="array" aca="1" ref="CM33" ca="1">SUM(INDIRECT(ADDRESS(expenses_min_row,COLUMN()) &amp; ":" &amp; ADDRESS(expenses_max_row, COLUMN())))</f>
        <v>0</v>
      </c>
      <c r="CN33" s="21" cm="1">
        <f t="array" aca="1" ref="CN33" ca="1">SUM(INDIRECT(ADDRESS(expenses_min_row,COLUMN()) &amp; ":" &amp; ADDRESS(expenses_max_row, COLUMN())))</f>
        <v>0</v>
      </c>
      <c r="CO33" s="21" cm="1">
        <f t="array" aca="1" ref="CO33" ca="1">SUM(INDIRECT(ADDRESS(expenses_min_row,COLUMN()) &amp; ":" &amp; ADDRESS(expenses_max_row, COLUMN())))</f>
        <v>0</v>
      </c>
      <c r="CP33" s="21" cm="1">
        <f t="array" aca="1" ref="CP33" ca="1">SUM(INDIRECT(ADDRESS(expenses_min_row,COLUMN()) &amp; ":" &amp; ADDRESS(expenses_max_row, COLUMN())))</f>
        <v>0</v>
      </c>
      <c r="CQ33" s="21" cm="1">
        <f t="array" aca="1" ref="CQ33" ca="1">SUM(INDIRECT(ADDRESS(expenses_min_row,COLUMN()) &amp; ":" &amp; ADDRESS(expenses_max_row, COLUMN())))</f>
        <v>0</v>
      </c>
      <c r="CR33" s="21" cm="1">
        <f t="array" aca="1" ref="CR33" ca="1">SUM(INDIRECT(ADDRESS(expenses_min_row,COLUMN()) &amp; ":" &amp; ADDRESS(expenses_max_row, COLUMN())))</f>
        <v>0</v>
      </c>
      <c r="CS33" s="21" cm="1">
        <f t="array" aca="1" ref="CS33" ca="1">SUM(INDIRECT(ADDRESS(expenses_min_row,COLUMN()) &amp; ":" &amp; ADDRESS(expenses_max_row, COLUMN())))</f>
        <v>0</v>
      </c>
      <c r="CT33" s="21" cm="1">
        <f t="array" aca="1" ref="CT33" ca="1">SUM(INDIRECT(ADDRESS(expenses_min_row,COLUMN()) &amp; ":" &amp; ADDRESS(expenses_max_row, COLUMN())))</f>
        <v>0</v>
      </c>
      <c r="CU33" s="21" cm="1">
        <f t="array" aca="1" ref="CU33" ca="1">SUM(INDIRECT(ADDRESS(expenses_min_row,COLUMN()) &amp; ":" &amp; ADDRESS(expenses_max_row, COLUMN())))</f>
        <v>0</v>
      </c>
      <c r="CV33" s="21" cm="1">
        <f t="array" aca="1" ref="CV33" ca="1">SUM(INDIRECT(ADDRESS(expenses_min_row,COLUMN()) &amp; ":" &amp; ADDRESS(expenses_max_row, COLUMN())))</f>
        <v>0</v>
      </c>
      <c r="CW33" s="21">
        <f t="shared" ca="1" si="24"/>
        <v>0</v>
      </c>
      <c r="CY33" s="21" cm="1">
        <f t="array" aca="1" ref="CY33" ca="1">SUM(INDIRECT(ADDRESS(expenses_min_row,COLUMN()) &amp; ":" &amp; ADDRESS(expenses_max_row, COLUMN())))</f>
        <v>0</v>
      </c>
      <c r="CZ33" s="21" cm="1">
        <f t="array" aca="1" ref="CZ33" ca="1">SUM(INDIRECT(ADDRESS(expenses_min_row,COLUMN()) &amp; ":" &amp; ADDRESS(expenses_max_row, COLUMN())))</f>
        <v>0</v>
      </c>
      <c r="DA33" s="21" cm="1">
        <f t="array" aca="1" ref="DA33" ca="1">SUM(INDIRECT(ADDRESS(expenses_min_row,COLUMN()) &amp; ":" &amp; ADDRESS(expenses_max_row, COLUMN())))</f>
        <v>0</v>
      </c>
      <c r="DB33" s="21" cm="1">
        <f t="array" aca="1" ref="DB33" ca="1">SUM(INDIRECT(ADDRESS(expenses_min_row,COLUMN()) &amp; ":" &amp; ADDRESS(expenses_max_row, COLUMN())))</f>
        <v>0</v>
      </c>
      <c r="DC33" s="21" cm="1">
        <f t="array" aca="1" ref="DC33" ca="1">SUM(INDIRECT(ADDRESS(expenses_min_row,COLUMN()) &amp; ":" &amp; ADDRESS(expenses_max_row, COLUMN())))</f>
        <v>0</v>
      </c>
      <c r="DD33" s="21" cm="1">
        <f t="array" aca="1" ref="DD33" ca="1">SUM(INDIRECT(ADDRESS(expenses_min_row,COLUMN()) &amp; ":" &amp; ADDRESS(expenses_max_row, COLUMN())))</f>
        <v>0</v>
      </c>
      <c r="DE33" s="21" cm="1">
        <f t="array" aca="1" ref="DE33" ca="1">SUM(INDIRECT(ADDRESS(expenses_min_row,COLUMN()) &amp; ":" &amp; ADDRESS(expenses_max_row, COLUMN())))</f>
        <v>0</v>
      </c>
      <c r="DF33" s="21" cm="1">
        <f t="array" aca="1" ref="DF33" ca="1">SUM(INDIRECT(ADDRESS(expenses_min_row,COLUMN()) &amp; ":" &amp; ADDRESS(expenses_max_row, COLUMN())))</f>
        <v>0</v>
      </c>
      <c r="DG33" s="21" cm="1">
        <f t="array" aca="1" ref="DG33" ca="1">SUM(INDIRECT(ADDRESS(expenses_min_row,COLUMN()) &amp; ":" &amp; ADDRESS(expenses_max_row, COLUMN())))</f>
        <v>0</v>
      </c>
      <c r="DH33" s="21" cm="1">
        <f t="array" aca="1" ref="DH33" ca="1">SUM(INDIRECT(ADDRESS(expenses_min_row,COLUMN()) &amp; ":" &amp; ADDRESS(expenses_max_row, COLUMN())))</f>
        <v>0</v>
      </c>
      <c r="DI33" s="21" cm="1">
        <f t="array" aca="1" ref="DI33" ca="1">SUM(INDIRECT(ADDRESS(expenses_min_row,COLUMN()) &amp; ":" &amp; ADDRESS(expenses_max_row, COLUMN())))</f>
        <v>0</v>
      </c>
      <c r="DJ33" s="21" cm="1">
        <f t="array" aca="1" ref="DJ33" ca="1">SUM(INDIRECT(ADDRESS(expenses_min_row,COLUMN()) &amp; ":" &amp; ADDRESS(expenses_max_row, COLUMN())))</f>
        <v>0</v>
      </c>
      <c r="DK33" s="21">
        <f t="shared" ca="1" si="25"/>
        <v>0</v>
      </c>
      <c r="DM33" s="21" cm="1">
        <f t="array" aca="1" ref="DM33" ca="1">SUM(INDIRECT(ADDRESS(expenses_min_row,COLUMN()) &amp; ":" &amp; ADDRESS(expenses_max_row, COLUMN())))</f>
        <v>0</v>
      </c>
      <c r="DN33" s="21" cm="1">
        <f t="array" aca="1" ref="DN33" ca="1">SUM(INDIRECT(ADDRESS(expenses_min_row,COLUMN()) &amp; ":" &amp; ADDRESS(expenses_max_row, COLUMN())))</f>
        <v>0</v>
      </c>
      <c r="DO33" s="21" cm="1">
        <f t="array" aca="1" ref="DO33" ca="1">SUM(INDIRECT(ADDRESS(expenses_min_row,COLUMN()) &amp; ":" &amp; ADDRESS(expenses_max_row, COLUMN())))</f>
        <v>0</v>
      </c>
      <c r="DP33" s="21" cm="1">
        <f t="array" aca="1" ref="DP33" ca="1">SUM(INDIRECT(ADDRESS(expenses_min_row,COLUMN()) &amp; ":" &amp; ADDRESS(expenses_max_row, COLUMN())))</f>
        <v>0</v>
      </c>
      <c r="DQ33" s="21" cm="1">
        <f t="array" aca="1" ref="DQ33" ca="1">SUM(INDIRECT(ADDRESS(expenses_min_row,COLUMN()) &amp; ":" &amp; ADDRESS(expenses_max_row, COLUMN())))</f>
        <v>0</v>
      </c>
      <c r="DR33" s="21" cm="1">
        <f t="array" aca="1" ref="DR33" ca="1">SUM(INDIRECT(ADDRESS(expenses_min_row,COLUMN()) &amp; ":" &amp; ADDRESS(expenses_max_row, COLUMN())))</f>
        <v>0</v>
      </c>
      <c r="DS33" s="21" cm="1">
        <f t="array" aca="1" ref="DS33" ca="1">SUM(INDIRECT(ADDRESS(expenses_min_row,COLUMN()) &amp; ":" &amp; ADDRESS(expenses_max_row, COLUMN())))</f>
        <v>0</v>
      </c>
      <c r="DT33" s="21" cm="1">
        <f t="array" aca="1" ref="DT33" ca="1">SUM(INDIRECT(ADDRESS(expenses_min_row,COLUMN()) &amp; ":" &amp; ADDRESS(expenses_max_row, COLUMN())))</f>
        <v>0</v>
      </c>
      <c r="DU33" s="21" cm="1">
        <f t="array" aca="1" ref="DU33" ca="1">SUM(INDIRECT(ADDRESS(expenses_min_row,COLUMN()) &amp; ":" &amp; ADDRESS(expenses_max_row, COLUMN())))</f>
        <v>0</v>
      </c>
      <c r="DV33" s="21" cm="1">
        <f t="array" aca="1" ref="DV33" ca="1">SUM(INDIRECT(ADDRESS(expenses_min_row,COLUMN()) &amp; ":" &amp; ADDRESS(expenses_max_row, COLUMN())))</f>
        <v>0</v>
      </c>
      <c r="DW33" s="21" cm="1">
        <f t="array" aca="1" ref="DW33" ca="1">SUM(INDIRECT(ADDRESS(expenses_min_row,COLUMN()) &amp; ":" &amp; ADDRESS(expenses_max_row, COLUMN())))</f>
        <v>0</v>
      </c>
      <c r="DX33" s="21" cm="1">
        <f t="array" aca="1" ref="DX33" ca="1">SUM(INDIRECT(ADDRESS(expenses_min_row,COLUMN()) &amp; ":" &amp; ADDRESS(expenses_max_row, COLUMN())))</f>
        <v>0</v>
      </c>
      <c r="DY33" s="21">
        <f t="shared" ca="1" si="26"/>
        <v>0</v>
      </c>
    </row>
    <row r="35" spans="3:129" x14ac:dyDescent="0.3">
      <c r="C35" s="16" t="s">
        <v>16</v>
      </c>
      <c r="E35" s="25">
        <f>DATE(E$5,1,1)</f>
        <v>44562</v>
      </c>
      <c r="F35" s="25">
        <f>DATE(E$5,2,1)</f>
        <v>44593</v>
      </c>
      <c r="G35" s="25">
        <f>DATE(E$5,3,1)</f>
        <v>44621</v>
      </c>
      <c r="H35" s="25">
        <f>DATE(E$5,4,1)</f>
        <v>44652</v>
      </c>
      <c r="I35" s="25">
        <f>DATE(E$5,5,1)</f>
        <v>44682</v>
      </c>
      <c r="J35" s="25">
        <f>DATE(E$5,6,1)</f>
        <v>44713</v>
      </c>
      <c r="K35" s="25">
        <f>DATE(E$5,7,1)</f>
        <v>44743</v>
      </c>
      <c r="L35" s="25">
        <f>DATE(E$5,8,1)</f>
        <v>44774</v>
      </c>
      <c r="M35" s="25">
        <f>DATE(E$5,9,1)</f>
        <v>44805</v>
      </c>
      <c r="N35" s="25">
        <f>DATE(E$5,10,1)</f>
        <v>44835</v>
      </c>
      <c r="O35" s="25">
        <f>DATE(E$5,11,1)</f>
        <v>44866</v>
      </c>
      <c r="P35" s="25">
        <f>DATE(E$5,12,1)</f>
        <v>44896</v>
      </c>
      <c r="Q35" s="26">
        <v>2022</v>
      </c>
      <c r="S35" s="25">
        <f>DATE(S$5,1,1)</f>
        <v>44927</v>
      </c>
      <c r="T35" s="25">
        <f>DATE(S$5,2,1)</f>
        <v>44958</v>
      </c>
      <c r="U35" s="25">
        <f>DATE(S$5,3,1)</f>
        <v>44986</v>
      </c>
      <c r="V35" s="25">
        <f>DATE(S$5,4,1)</f>
        <v>45017</v>
      </c>
      <c r="W35" s="25">
        <f>DATE(S$5,5,1)</f>
        <v>45047</v>
      </c>
      <c r="X35" s="25">
        <f>DATE(S$5,6,1)</f>
        <v>45078</v>
      </c>
      <c r="Y35" s="25">
        <f>DATE(S$5,7,1)</f>
        <v>45108</v>
      </c>
      <c r="Z35" s="25">
        <f>DATE(S$5,8,1)</f>
        <v>45139</v>
      </c>
      <c r="AA35" s="25">
        <f>DATE(S$5,9,1)</f>
        <v>45170</v>
      </c>
      <c r="AB35" s="25">
        <f>DATE(S$5,10,1)</f>
        <v>45200</v>
      </c>
      <c r="AC35" s="25">
        <f>DATE(S$5,11,1)</f>
        <v>45231</v>
      </c>
      <c r="AD35" s="25">
        <f>DATE(S$5,12,1)</f>
        <v>45261</v>
      </c>
      <c r="AE35" s="26">
        <f>Q35+1</f>
        <v>2023</v>
      </c>
      <c r="AG35" s="25">
        <f>DATE(AG$5,1,1)</f>
        <v>45292</v>
      </c>
      <c r="AH35" s="25">
        <f>DATE(AG$5,2,1)</f>
        <v>45323</v>
      </c>
      <c r="AI35" s="25">
        <f>DATE(AG$5,3,1)</f>
        <v>45352</v>
      </c>
      <c r="AJ35" s="25">
        <f>DATE(AG$5,4,1)</f>
        <v>45383</v>
      </c>
      <c r="AK35" s="25">
        <f>DATE(AG$5,5,1)</f>
        <v>45413</v>
      </c>
      <c r="AL35" s="25">
        <f>DATE(AG$5,6,1)</f>
        <v>45444</v>
      </c>
      <c r="AM35" s="25">
        <f>DATE(AG$5,7,1)</f>
        <v>45474</v>
      </c>
      <c r="AN35" s="25">
        <f>DATE(AG$5,8,1)</f>
        <v>45505</v>
      </c>
      <c r="AO35" s="25">
        <f>DATE(AG$5,9,1)</f>
        <v>45536</v>
      </c>
      <c r="AP35" s="25">
        <f>DATE(AG$5,10,1)</f>
        <v>45566</v>
      </c>
      <c r="AQ35" s="25">
        <f>DATE(AG$5,11,1)</f>
        <v>45597</v>
      </c>
      <c r="AR35" s="25">
        <f>DATE(AG$5,12,1)</f>
        <v>45627</v>
      </c>
      <c r="AS35" s="26">
        <f>AE35+1</f>
        <v>2024</v>
      </c>
      <c r="AU35" s="25">
        <f>DATE(AU$5,1,1)</f>
        <v>45658</v>
      </c>
      <c r="AV35" s="25">
        <f>DATE(AU$5,2,1)</f>
        <v>45689</v>
      </c>
      <c r="AW35" s="25">
        <f>DATE(AU$5,3,1)</f>
        <v>45717</v>
      </c>
      <c r="AX35" s="25">
        <f>DATE(AU$5,4,1)</f>
        <v>45748</v>
      </c>
      <c r="AY35" s="25">
        <f>DATE(AU$5,5,1)</f>
        <v>45778</v>
      </c>
      <c r="AZ35" s="25">
        <f>DATE(AU$5,6,1)</f>
        <v>45809</v>
      </c>
      <c r="BA35" s="25">
        <f>DATE(AU$5,7,1)</f>
        <v>45839</v>
      </c>
      <c r="BB35" s="25">
        <f>DATE(AU$5,8,1)</f>
        <v>45870</v>
      </c>
      <c r="BC35" s="25">
        <f>DATE(AU$5,9,1)</f>
        <v>45901</v>
      </c>
      <c r="BD35" s="25">
        <f>DATE(AU$5,10,1)</f>
        <v>45931</v>
      </c>
      <c r="BE35" s="25">
        <f>DATE(AU$5,11,1)</f>
        <v>45962</v>
      </c>
      <c r="BF35" s="25">
        <f>DATE(AU$5,12,1)</f>
        <v>45992</v>
      </c>
      <c r="BG35" s="26">
        <f>AS35+1</f>
        <v>2025</v>
      </c>
      <c r="BI35" s="25">
        <f>DATE(BI$5,1,1)</f>
        <v>46023</v>
      </c>
      <c r="BJ35" s="25">
        <f>DATE(BI$5,2,1)</f>
        <v>46054</v>
      </c>
      <c r="BK35" s="25">
        <f>DATE(BI$5,3,1)</f>
        <v>46082</v>
      </c>
      <c r="BL35" s="25">
        <f>DATE(BI$5,4,1)</f>
        <v>46113</v>
      </c>
      <c r="BM35" s="25">
        <f>DATE(BI$5,5,1)</f>
        <v>46143</v>
      </c>
      <c r="BN35" s="25">
        <f>DATE(BI$5,6,1)</f>
        <v>46174</v>
      </c>
      <c r="BO35" s="25">
        <f>DATE(BI$5,7,1)</f>
        <v>46204</v>
      </c>
      <c r="BP35" s="25">
        <f>DATE(BI$5,8,1)</f>
        <v>46235</v>
      </c>
      <c r="BQ35" s="25">
        <f>DATE(BI$5,9,1)</f>
        <v>46266</v>
      </c>
      <c r="BR35" s="25">
        <f>DATE(BI$5,10,1)</f>
        <v>46296</v>
      </c>
      <c r="BS35" s="25">
        <f>DATE(BI$5,11,1)</f>
        <v>46327</v>
      </c>
      <c r="BT35" s="25">
        <f>DATE(BI$5,12,1)</f>
        <v>46357</v>
      </c>
      <c r="BU35" s="26">
        <f>BG35+1</f>
        <v>2026</v>
      </c>
      <c r="BW35" s="25">
        <f>DATE(BW$5,1,1)</f>
        <v>46388</v>
      </c>
      <c r="BX35" s="25">
        <f>DATE(BW$5,2,1)</f>
        <v>46419</v>
      </c>
      <c r="BY35" s="25">
        <f>DATE(BW$5,3,1)</f>
        <v>46447</v>
      </c>
      <c r="BZ35" s="25">
        <f>DATE(BW$5,4,1)</f>
        <v>46478</v>
      </c>
      <c r="CA35" s="25">
        <f>DATE(BW$5,5,1)</f>
        <v>46508</v>
      </c>
      <c r="CB35" s="25">
        <f>DATE(BW$5,6,1)</f>
        <v>46539</v>
      </c>
      <c r="CC35" s="25">
        <f>DATE(BW$5,7,1)</f>
        <v>46569</v>
      </c>
      <c r="CD35" s="25">
        <f>DATE(BW$5,8,1)</f>
        <v>46600</v>
      </c>
      <c r="CE35" s="25">
        <f>DATE(BW$5,9,1)</f>
        <v>46631</v>
      </c>
      <c r="CF35" s="25">
        <f>DATE(BW$5,10,1)</f>
        <v>46661</v>
      </c>
      <c r="CG35" s="25">
        <f>DATE(BW$5,11,1)</f>
        <v>46692</v>
      </c>
      <c r="CH35" s="25">
        <f>DATE(BW$5,12,1)</f>
        <v>46722</v>
      </c>
      <c r="CI35" s="26">
        <f>BU35+1</f>
        <v>2027</v>
      </c>
      <c r="CK35" s="25">
        <f>DATE(CK$5,1,1)</f>
        <v>46753</v>
      </c>
      <c r="CL35" s="25">
        <f>DATE(CK$5,2,1)</f>
        <v>46784</v>
      </c>
      <c r="CM35" s="25">
        <f>DATE(CK$5,3,1)</f>
        <v>46813</v>
      </c>
      <c r="CN35" s="25">
        <f>DATE(CK$5,4,1)</f>
        <v>46844</v>
      </c>
      <c r="CO35" s="25">
        <f>DATE(CK$5,5,1)</f>
        <v>46874</v>
      </c>
      <c r="CP35" s="25">
        <f>DATE(CK$5,6,1)</f>
        <v>46905</v>
      </c>
      <c r="CQ35" s="25">
        <f>DATE(CK$5,7,1)</f>
        <v>46935</v>
      </c>
      <c r="CR35" s="25">
        <f>DATE(CK$5,8,1)</f>
        <v>46966</v>
      </c>
      <c r="CS35" s="25">
        <f>DATE(CK$5,9,1)</f>
        <v>46997</v>
      </c>
      <c r="CT35" s="25">
        <f>DATE(CK$5,10,1)</f>
        <v>47027</v>
      </c>
      <c r="CU35" s="25">
        <f>DATE(CK$5,11,1)</f>
        <v>47058</v>
      </c>
      <c r="CV35" s="25">
        <f>DATE(CK$5,12,1)</f>
        <v>47088</v>
      </c>
      <c r="CW35" s="26">
        <f>CI35+1</f>
        <v>2028</v>
      </c>
      <c r="CY35" s="25">
        <f>DATE(CY$5,1,1)</f>
        <v>47119</v>
      </c>
      <c r="CZ35" s="25">
        <f>DATE(CY$5,2,1)</f>
        <v>47150</v>
      </c>
      <c r="DA35" s="25">
        <f>DATE(CY$5,3,1)</f>
        <v>47178</v>
      </c>
      <c r="DB35" s="25">
        <f>DATE(CY$5,4,1)</f>
        <v>47209</v>
      </c>
      <c r="DC35" s="25">
        <f>DATE(CY$5,5,1)</f>
        <v>47239</v>
      </c>
      <c r="DD35" s="25">
        <f>DATE(CY$5,6,1)</f>
        <v>47270</v>
      </c>
      <c r="DE35" s="25">
        <f>DATE(CY$5,7,1)</f>
        <v>47300</v>
      </c>
      <c r="DF35" s="25">
        <f>DATE(CY$5,8,1)</f>
        <v>47331</v>
      </c>
      <c r="DG35" s="25">
        <f>DATE(CY$5,9,1)</f>
        <v>47362</v>
      </c>
      <c r="DH35" s="25">
        <f>DATE(CY$5,10,1)</f>
        <v>47392</v>
      </c>
      <c r="DI35" s="25">
        <f>DATE(CY$5,11,1)</f>
        <v>47423</v>
      </c>
      <c r="DJ35" s="25">
        <f>DATE(CY$5,12,1)</f>
        <v>47453</v>
      </c>
      <c r="DK35" s="26">
        <f>CW35+1</f>
        <v>2029</v>
      </c>
      <c r="DM35" s="25">
        <f>DATE(DM$5,1,1)</f>
        <v>47484</v>
      </c>
      <c r="DN35" s="25">
        <f>DATE(DM$5,2,1)</f>
        <v>47515</v>
      </c>
      <c r="DO35" s="25">
        <f>DATE(DM$5,3,1)</f>
        <v>47543</v>
      </c>
      <c r="DP35" s="25">
        <f>DATE(DM$5,4,1)</f>
        <v>47574</v>
      </c>
      <c r="DQ35" s="25">
        <f>DATE(DM$5,5,1)</f>
        <v>47604</v>
      </c>
      <c r="DR35" s="25">
        <f>DATE(DM$5,6,1)</f>
        <v>47635</v>
      </c>
      <c r="DS35" s="25">
        <f>DATE(DM$5,7,1)</f>
        <v>47665</v>
      </c>
      <c r="DT35" s="25">
        <f>DATE(DM$5,8,1)</f>
        <v>47696</v>
      </c>
      <c r="DU35" s="25">
        <f>DATE(DM$5,9,1)</f>
        <v>47727</v>
      </c>
      <c r="DV35" s="25">
        <f>DATE(DM$5,10,1)</f>
        <v>47757</v>
      </c>
      <c r="DW35" s="25">
        <f>DATE(DM$5,11,1)</f>
        <v>47788</v>
      </c>
      <c r="DX35" s="25">
        <f>DATE(DM$5,12,1)</f>
        <v>47818</v>
      </c>
      <c r="DY35" s="26">
        <f>DK35+1</f>
        <v>2030</v>
      </c>
    </row>
    <row r="36" spans="3:129" x14ac:dyDescent="0.3">
      <c r="C36" s="23" t="s">
        <v>17</v>
      </c>
      <c r="E36" s="20">
        <v>1000</v>
      </c>
      <c r="F36" s="20">
        <v>1000</v>
      </c>
      <c r="G36" s="20">
        <v>1000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1">
        <f>SUM(E36:P36)</f>
        <v>3000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1">
        <f>SUM(S36:AD36)</f>
        <v>0</v>
      </c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1">
        <f>SUM(AG36:AR36)</f>
        <v>0</v>
      </c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1">
        <f>SUM(AU36:BF36)</f>
        <v>0</v>
      </c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1">
        <f>SUM(BI36:BT36)</f>
        <v>0</v>
      </c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1">
        <f>SUM(BW36:CH36)</f>
        <v>0</v>
      </c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1">
        <f>SUM(CK36:CV36)</f>
        <v>0</v>
      </c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1">
        <f>SUM(CY36:DJ36)</f>
        <v>0</v>
      </c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1">
        <f>SUM(DM36:DX36)</f>
        <v>0</v>
      </c>
    </row>
    <row r="37" spans="3:129" x14ac:dyDescent="0.3">
      <c r="C37" s="23" t="s">
        <v>18</v>
      </c>
      <c r="E37" s="20">
        <v>400</v>
      </c>
      <c r="F37" s="20">
        <v>400</v>
      </c>
      <c r="G37" s="20">
        <v>400</v>
      </c>
      <c r="H37" s="20">
        <v>400</v>
      </c>
      <c r="I37" s="20">
        <v>400</v>
      </c>
      <c r="J37" s="20">
        <v>400</v>
      </c>
      <c r="K37" s="20">
        <v>400</v>
      </c>
      <c r="L37" s="20">
        <v>400</v>
      </c>
      <c r="M37" s="20">
        <v>400</v>
      </c>
      <c r="N37" s="20">
        <v>400</v>
      </c>
      <c r="O37" s="20">
        <v>400</v>
      </c>
      <c r="P37" s="20">
        <v>400</v>
      </c>
      <c r="Q37" s="21">
        <f t="shared" ref="Q37:Q46" si="27">SUM(E37:P37)</f>
        <v>4800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>
        <f t="shared" ref="AE37:AE46" si="28">SUM(S37:AD37)</f>
        <v>0</v>
      </c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1">
        <f t="shared" ref="AS37:AS46" si="29">SUM(AG37:AR37)</f>
        <v>0</v>
      </c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1">
        <f t="shared" ref="BG37:BG46" si="30">SUM(AU37:BF37)</f>
        <v>0</v>
      </c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1">
        <f t="shared" ref="BU37:BU46" si="31">SUM(BI37:BT37)</f>
        <v>0</v>
      </c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1">
        <f t="shared" ref="CI37:CI46" si="32">SUM(BW37:CH37)</f>
        <v>0</v>
      </c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1">
        <f t="shared" ref="CW37:CW46" si="33">SUM(CK37:CV37)</f>
        <v>0</v>
      </c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1">
        <f t="shared" ref="DK37:DK46" si="34">SUM(CY37:DJ37)</f>
        <v>0</v>
      </c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1">
        <f t="shared" ref="DY37:DY46" si="35">SUM(DM37:DX37)</f>
        <v>0</v>
      </c>
    </row>
    <row r="38" spans="3:129" x14ac:dyDescent="0.3">
      <c r="C38" s="23" t="s">
        <v>19</v>
      </c>
      <c r="E38" s="20">
        <v>150</v>
      </c>
      <c r="F38" s="20">
        <v>150</v>
      </c>
      <c r="G38" s="20">
        <v>150</v>
      </c>
      <c r="H38" s="20">
        <v>750</v>
      </c>
      <c r="I38" s="20">
        <v>750</v>
      </c>
      <c r="J38" s="20">
        <v>750</v>
      </c>
      <c r="K38" s="20">
        <v>750</v>
      </c>
      <c r="L38" s="20">
        <v>750</v>
      </c>
      <c r="M38" s="20">
        <v>750</v>
      </c>
      <c r="N38" s="20">
        <v>750</v>
      </c>
      <c r="O38" s="20">
        <v>750</v>
      </c>
      <c r="P38" s="20">
        <v>750</v>
      </c>
      <c r="Q38" s="21">
        <f t="shared" si="27"/>
        <v>7200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>
        <f t="shared" si="28"/>
        <v>0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1">
        <f t="shared" si="29"/>
        <v>0</v>
      </c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1">
        <f t="shared" si="30"/>
        <v>0</v>
      </c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1">
        <f t="shared" si="31"/>
        <v>0</v>
      </c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1">
        <f t="shared" si="32"/>
        <v>0</v>
      </c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1">
        <f t="shared" si="33"/>
        <v>0</v>
      </c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1">
        <f t="shared" si="34"/>
        <v>0</v>
      </c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1">
        <f t="shared" si="35"/>
        <v>0</v>
      </c>
    </row>
    <row r="39" spans="3:129" x14ac:dyDescent="0.3">
      <c r="C39" s="24" t="s">
        <v>29</v>
      </c>
      <c r="E39" s="20">
        <v>0</v>
      </c>
      <c r="F39" s="20">
        <v>0</v>
      </c>
      <c r="G39" s="20">
        <v>0</v>
      </c>
      <c r="H39" s="20">
        <v>600</v>
      </c>
      <c r="I39" s="20">
        <v>1400</v>
      </c>
      <c r="J39" s="20">
        <v>1300</v>
      </c>
      <c r="K39" s="20">
        <v>1500</v>
      </c>
      <c r="L39" s="20">
        <v>200</v>
      </c>
      <c r="M39" s="20">
        <v>1300</v>
      </c>
      <c r="N39" s="20">
        <v>1500</v>
      </c>
      <c r="O39" s="20">
        <v>1400</v>
      </c>
      <c r="P39" s="20">
        <v>1000</v>
      </c>
      <c r="Q39" s="21">
        <f t="shared" si="27"/>
        <v>10200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1">
        <f t="shared" si="28"/>
        <v>0</v>
      </c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1">
        <f t="shared" si="29"/>
        <v>0</v>
      </c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1">
        <f t="shared" si="30"/>
        <v>0</v>
      </c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1">
        <f t="shared" si="31"/>
        <v>0</v>
      </c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1">
        <f t="shared" si="32"/>
        <v>0</v>
      </c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1">
        <f t="shared" si="33"/>
        <v>0</v>
      </c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1">
        <f t="shared" si="34"/>
        <v>0</v>
      </c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1">
        <f t="shared" si="35"/>
        <v>0</v>
      </c>
    </row>
    <row r="40" spans="3:129" x14ac:dyDescent="0.3">
      <c r="C40" s="24" t="s">
        <v>30</v>
      </c>
      <c r="E40" s="20">
        <v>200</v>
      </c>
      <c r="F40" s="20">
        <v>100</v>
      </c>
      <c r="G40" s="20">
        <v>0</v>
      </c>
      <c r="H40" s="20">
        <v>100</v>
      </c>
      <c r="I40" s="20">
        <v>100</v>
      </c>
      <c r="J40" s="20">
        <v>100</v>
      </c>
      <c r="K40" s="20">
        <v>100</v>
      </c>
      <c r="L40" s="20">
        <v>100</v>
      </c>
      <c r="M40" s="20">
        <v>100</v>
      </c>
      <c r="N40" s="20">
        <v>100</v>
      </c>
      <c r="O40" s="20">
        <v>100</v>
      </c>
      <c r="P40" s="20">
        <v>100</v>
      </c>
      <c r="Q40" s="21">
        <f t="shared" si="27"/>
        <v>1200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1">
        <f t="shared" si="28"/>
        <v>0</v>
      </c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1">
        <f t="shared" si="29"/>
        <v>0</v>
      </c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1">
        <f t="shared" si="30"/>
        <v>0</v>
      </c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1">
        <f t="shared" si="31"/>
        <v>0</v>
      </c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1">
        <f t="shared" si="32"/>
        <v>0</v>
      </c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1">
        <f t="shared" si="33"/>
        <v>0</v>
      </c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1">
        <f t="shared" si="34"/>
        <v>0</v>
      </c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1">
        <f t="shared" si="35"/>
        <v>0</v>
      </c>
    </row>
    <row r="41" spans="3:129" hidden="1" x14ac:dyDescent="0.3">
      <c r="C41" s="23" t="s">
        <v>20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1">
        <f t="shared" si="27"/>
        <v>0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1">
        <f t="shared" si="28"/>
        <v>0</v>
      </c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1">
        <f t="shared" si="29"/>
        <v>0</v>
      </c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1">
        <f t="shared" si="30"/>
        <v>0</v>
      </c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1">
        <f t="shared" si="31"/>
        <v>0</v>
      </c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1">
        <f t="shared" si="32"/>
        <v>0</v>
      </c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1">
        <f t="shared" si="33"/>
        <v>0</v>
      </c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1">
        <f t="shared" si="34"/>
        <v>0</v>
      </c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1">
        <f t="shared" si="35"/>
        <v>0</v>
      </c>
    </row>
    <row r="42" spans="3:129" hidden="1" x14ac:dyDescent="0.3">
      <c r="C42" s="23" t="s">
        <v>21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1">
        <f t="shared" si="27"/>
        <v>0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1">
        <f t="shared" si="28"/>
        <v>0</v>
      </c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1">
        <f t="shared" si="29"/>
        <v>0</v>
      </c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1">
        <f t="shared" si="30"/>
        <v>0</v>
      </c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1">
        <f t="shared" si="31"/>
        <v>0</v>
      </c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1">
        <f t="shared" si="32"/>
        <v>0</v>
      </c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1">
        <f t="shared" si="33"/>
        <v>0</v>
      </c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1">
        <f t="shared" si="34"/>
        <v>0</v>
      </c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1">
        <f t="shared" si="35"/>
        <v>0</v>
      </c>
    </row>
    <row r="43" spans="3:129" hidden="1" x14ac:dyDescent="0.3">
      <c r="C43" s="23" t="s">
        <v>20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1">
        <f t="shared" si="27"/>
        <v>0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1">
        <f t="shared" si="28"/>
        <v>0</v>
      </c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1">
        <f t="shared" si="29"/>
        <v>0</v>
      </c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1">
        <f t="shared" si="30"/>
        <v>0</v>
      </c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1">
        <f t="shared" si="31"/>
        <v>0</v>
      </c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1">
        <f t="shared" si="32"/>
        <v>0</v>
      </c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1">
        <f t="shared" si="33"/>
        <v>0</v>
      </c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1">
        <f t="shared" si="34"/>
        <v>0</v>
      </c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1">
        <f t="shared" si="35"/>
        <v>0</v>
      </c>
    </row>
    <row r="44" spans="3:129" hidden="1" x14ac:dyDescent="0.3">
      <c r="C44" s="23" t="s">
        <v>20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1">
        <f t="shared" si="27"/>
        <v>0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1">
        <f t="shared" si="28"/>
        <v>0</v>
      </c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1">
        <f t="shared" si="29"/>
        <v>0</v>
      </c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1">
        <f t="shared" si="30"/>
        <v>0</v>
      </c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1">
        <f t="shared" si="31"/>
        <v>0</v>
      </c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1">
        <f t="shared" si="32"/>
        <v>0</v>
      </c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1">
        <f t="shared" si="33"/>
        <v>0</v>
      </c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1">
        <f t="shared" si="34"/>
        <v>0</v>
      </c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1">
        <f t="shared" si="35"/>
        <v>0</v>
      </c>
    </row>
    <row r="45" spans="3:129" hidden="1" x14ac:dyDescent="0.3">
      <c r="C45" s="23" t="s">
        <v>20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1">
        <f t="shared" si="27"/>
        <v>0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1">
        <f t="shared" si="28"/>
        <v>0</v>
      </c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1">
        <f t="shared" si="29"/>
        <v>0</v>
      </c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1">
        <f t="shared" si="30"/>
        <v>0</v>
      </c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1">
        <f t="shared" si="31"/>
        <v>0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1">
        <f t="shared" si="32"/>
        <v>0</v>
      </c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1">
        <f t="shared" si="33"/>
        <v>0</v>
      </c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1">
        <f t="shared" si="34"/>
        <v>0</v>
      </c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1">
        <f t="shared" si="35"/>
        <v>0</v>
      </c>
    </row>
    <row r="46" spans="3:129" x14ac:dyDescent="0.3">
      <c r="C46" s="16" t="s">
        <v>8</v>
      </c>
      <c r="E46" s="21" cm="1">
        <f t="array" aca="1" ref="E46" ca="1">SUM(INDIRECT(ADDRESS(savings_min_row,COLUMN()) &amp; ":" &amp; ADDRESS(savings_max_row, COLUMN())))</f>
        <v>1750</v>
      </c>
      <c r="F46" s="21" cm="1">
        <f t="array" aca="1" ref="F46" ca="1">SUM(INDIRECT(ADDRESS(savings_min_row,COLUMN()) &amp; ":" &amp; ADDRESS(savings_max_row, COLUMN())))</f>
        <v>1650</v>
      </c>
      <c r="G46" s="21" cm="1">
        <f t="array" aca="1" ref="G46" ca="1">SUM(INDIRECT(ADDRESS(savings_min_row,COLUMN()) &amp; ":" &amp; ADDRESS(savings_max_row, COLUMN())))</f>
        <v>1550</v>
      </c>
      <c r="H46" s="21" cm="1">
        <f t="array" aca="1" ref="H46" ca="1">SUM(INDIRECT(ADDRESS(savings_min_row,COLUMN()) &amp; ":" &amp; ADDRESS(savings_max_row, COLUMN())))</f>
        <v>1850</v>
      </c>
      <c r="I46" s="21" cm="1">
        <f t="array" aca="1" ref="I46" ca="1">SUM(INDIRECT(ADDRESS(savings_min_row,COLUMN()) &amp; ":" &amp; ADDRESS(savings_max_row, COLUMN())))</f>
        <v>2650</v>
      </c>
      <c r="J46" s="21" cm="1">
        <f t="array" aca="1" ref="J46" ca="1">SUM(INDIRECT(ADDRESS(savings_min_row,COLUMN()) &amp; ":" &amp; ADDRESS(savings_max_row, COLUMN())))</f>
        <v>2550</v>
      </c>
      <c r="K46" s="21" cm="1">
        <f t="array" aca="1" ref="K46" ca="1">SUM(INDIRECT(ADDRESS(savings_min_row,COLUMN()) &amp; ":" &amp; ADDRESS(savings_max_row, COLUMN())))</f>
        <v>2750</v>
      </c>
      <c r="L46" s="21" cm="1">
        <f t="array" aca="1" ref="L46" ca="1">SUM(INDIRECT(ADDRESS(savings_min_row,COLUMN()) &amp; ":" &amp; ADDRESS(savings_max_row, COLUMN())))</f>
        <v>1450</v>
      </c>
      <c r="M46" s="21" cm="1">
        <f t="array" aca="1" ref="M46" ca="1">SUM(INDIRECT(ADDRESS(savings_min_row,COLUMN()) &amp; ":" &amp; ADDRESS(savings_max_row, COLUMN())))</f>
        <v>2550</v>
      </c>
      <c r="N46" s="21" cm="1">
        <f t="array" aca="1" ref="N46" ca="1">SUM(INDIRECT(ADDRESS(savings_min_row,COLUMN()) &amp; ":" &amp; ADDRESS(savings_max_row, COLUMN())))</f>
        <v>2750</v>
      </c>
      <c r="O46" s="21" cm="1">
        <f t="array" aca="1" ref="O46" ca="1">SUM(INDIRECT(ADDRESS(savings_min_row,COLUMN()) &amp; ":" &amp; ADDRESS(savings_max_row, COLUMN())))</f>
        <v>2650</v>
      </c>
      <c r="P46" s="21" cm="1">
        <f t="array" aca="1" ref="P46" ca="1">SUM(INDIRECT(ADDRESS(savings_min_row,COLUMN()) &amp; ":" &amp; ADDRESS(savings_max_row, COLUMN())))</f>
        <v>2250</v>
      </c>
      <c r="Q46" s="21">
        <f t="shared" ca="1" si="27"/>
        <v>26400</v>
      </c>
      <c r="S46" s="21" cm="1">
        <f t="array" aca="1" ref="S46" ca="1">SUM(INDIRECT(ADDRESS(savings_min_row,COLUMN()) &amp; ":" &amp; ADDRESS(savings_max_row, COLUMN())))</f>
        <v>0</v>
      </c>
      <c r="T46" s="21" cm="1">
        <f t="array" aca="1" ref="T46" ca="1">SUM(INDIRECT(ADDRESS(savings_min_row,COLUMN()) &amp; ":" &amp; ADDRESS(savings_max_row, COLUMN())))</f>
        <v>0</v>
      </c>
      <c r="U46" s="21" cm="1">
        <f t="array" aca="1" ref="U46" ca="1">SUM(INDIRECT(ADDRESS(savings_min_row,COLUMN()) &amp; ":" &amp; ADDRESS(savings_max_row, COLUMN())))</f>
        <v>0</v>
      </c>
      <c r="V46" s="21" cm="1">
        <f t="array" aca="1" ref="V46" ca="1">SUM(INDIRECT(ADDRESS(savings_min_row,COLUMN()) &amp; ":" &amp; ADDRESS(savings_max_row, COLUMN())))</f>
        <v>0</v>
      </c>
      <c r="W46" s="21" cm="1">
        <f t="array" aca="1" ref="W46" ca="1">SUM(INDIRECT(ADDRESS(savings_min_row,COLUMN()) &amp; ":" &amp; ADDRESS(savings_max_row, COLUMN())))</f>
        <v>0</v>
      </c>
      <c r="X46" s="21" cm="1">
        <f t="array" aca="1" ref="X46" ca="1">SUM(INDIRECT(ADDRESS(savings_min_row,COLUMN()) &amp; ":" &amp; ADDRESS(savings_max_row, COLUMN())))</f>
        <v>0</v>
      </c>
      <c r="Y46" s="21" cm="1">
        <f t="array" aca="1" ref="Y46" ca="1">SUM(INDIRECT(ADDRESS(savings_min_row,COLUMN()) &amp; ":" &amp; ADDRESS(savings_max_row, COLUMN())))</f>
        <v>0</v>
      </c>
      <c r="Z46" s="21" cm="1">
        <f t="array" aca="1" ref="Z46" ca="1">SUM(INDIRECT(ADDRESS(savings_min_row,COLUMN()) &amp; ":" &amp; ADDRESS(savings_max_row, COLUMN())))</f>
        <v>0</v>
      </c>
      <c r="AA46" s="21" cm="1">
        <f t="array" aca="1" ref="AA46" ca="1">SUM(INDIRECT(ADDRESS(savings_min_row,COLUMN()) &amp; ":" &amp; ADDRESS(savings_max_row, COLUMN())))</f>
        <v>0</v>
      </c>
      <c r="AB46" s="21" cm="1">
        <f t="array" aca="1" ref="AB46" ca="1">SUM(INDIRECT(ADDRESS(savings_min_row,COLUMN()) &amp; ":" &amp; ADDRESS(savings_max_row, COLUMN())))</f>
        <v>0</v>
      </c>
      <c r="AC46" s="21" cm="1">
        <f t="array" aca="1" ref="AC46" ca="1">SUM(INDIRECT(ADDRESS(savings_min_row,COLUMN()) &amp; ":" &amp; ADDRESS(savings_max_row, COLUMN())))</f>
        <v>0</v>
      </c>
      <c r="AD46" s="21" cm="1">
        <f t="array" aca="1" ref="AD46" ca="1">SUM(INDIRECT(ADDRESS(savings_min_row,COLUMN()) &amp; ":" &amp; ADDRESS(savings_max_row, COLUMN())))</f>
        <v>0</v>
      </c>
      <c r="AE46" s="21">
        <f t="shared" ca="1" si="28"/>
        <v>0</v>
      </c>
      <c r="AG46" s="21" cm="1">
        <f t="array" aca="1" ref="AG46" ca="1">SUM(INDIRECT(ADDRESS(savings_min_row,COLUMN()) &amp; ":" &amp; ADDRESS(savings_max_row, COLUMN())))</f>
        <v>0</v>
      </c>
      <c r="AH46" s="21" cm="1">
        <f t="array" aca="1" ref="AH46" ca="1">SUM(INDIRECT(ADDRESS(savings_min_row,COLUMN()) &amp; ":" &amp; ADDRESS(savings_max_row, COLUMN())))</f>
        <v>0</v>
      </c>
      <c r="AI46" s="21" cm="1">
        <f t="array" aca="1" ref="AI46" ca="1">SUM(INDIRECT(ADDRESS(savings_min_row,COLUMN()) &amp; ":" &amp; ADDRESS(savings_max_row, COLUMN())))</f>
        <v>0</v>
      </c>
      <c r="AJ46" s="21" cm="1">
        <f t="array" aca="1" ref="AJ46" ca="1">SUM(INDIRECT(ADDRESS(savings_min_row,COLUMN()) &amp; ":" &amp; ADDRESS(savings_max_row, COLUMN())))</f>
        <v>0</v>
      </c>
      <c r="AK46" s="21" cm="1">
        <f t="array" aca="1" ref="AK46" ca="1">SUM(INDIRECT(ADDRESS(savings_min_row,COLUMN()) &amp; ":" &amp; ADDRESS(savings_max_row, COLUMN())))</f>
        <v>0</v>
      </c>
      <c r="AL46" s="21" cm="1">
        <f t="array" aca="1" ref="AL46" ca="1">SUM(INDIRECT(ADDRESS(savings_min_row,COLUMN()) &amp; ":" &amp; ADDRESS(savings_max_row, COLUMN())))</f>
        <v>0</v>
      </c>
      <c r="AM46" s="21" cm="1">
        <f t="array" aca="1" ref="AM46" ca="1">SUM(INDIRECT(ADDRESS(savings_min_row,COLUMN()) &amp; ":" &amp; ADDRESS(savings_max_row, COLUMN())))</f>
        <v>0</v>
      </c>
      <c r="AN46" s="21" cm="1">
        <f t="array" aca="1" ref="AN46" ca="1">SUM(INDIRECT(ADDRESS(savings_min_row,COLUMN()) &amp; ":" &amp; ADDRESS(savings_max_row, COLUMN())))</f>
        <v>0</v>
      </c>
      <c r="AO46" s="21" cm="1">
        <f t="array" aca="1" ref="AO46" ca="1">SUM(INDIRECT(ADDRESS(savings_min_row,COLUMN()) &amp; ":" &amp; ADDRESS(savings_max_row, COLUMN())))</f>
        <v>0</v>
      </c>
      <c r="AP46" s="21" cm="1">
        <f t="array" aca="1" ref="AP46" ca="1">SUM(INDIRECT(ADDRESS(savings_min_row,COLUMN()) &amp; ":" &amp; ADDRESS(savings_max_row, COLUMN())))</f>
        <v>0</v>
      </c>
      <c r="AQ46" s="21" cm="1">
        <f t="array" aca="1" ref="AQ46" ca="1">SUM(INDIRECT(ADDRESS(savings_min_row,COLUMN()) &amp; ":" &amp; ADDRESS(savings_max_row, COLUMN())))</f>
        <v>0</v>
      </c>
      <c r="AR46" s="21" cm="1">
        <f t="array" aca="1" ref="AR46" ca="1">SUM(INDIRECT(ADDRESS(savings_min_row,COLUMN()) &amp; ":" &amp; ADDRESS(savings_max_row, COLUMN())))</f>
        <v>0</v>
      </c>
      <c r="AS46" s="21">
        <f t="shared" ca="1" si="29"/>
        <v>0</v>
      </c>
      <c r="AU46" s="21" cm="1">
        <f t="array" aca="1" ref="AU46" ca="1">SUM(INDIRECT(ADDRESS(savings_min_row,COLUMN()) &amp; ":" &amp; ADDRESS(savings_max_row, COLUMN())))</f>
        <v>0</v>
      </c>
      <c r="AV46" s="21" cm="1">
        <f t="array" aca="1" ref="AV46" ca="1">SUM(INDIRECT(ADDRESS(savings_min_row,COLUMN()) &amp; ":" &amp; ADDRESS(savings_max_row, COLUMN())))</f>
        <v>0</v>
      </c>
      <c r="AW46" s="21" cm="1">
        <f t="array" aca="1" ref="AW46" ca="1">SUM(INDIRECT(ADDRESS(savings_min_row,COLUMN()) &amp; ":" &amp; ADDRESS(savings_max_row, COLUMN())))</f>
        <v>0</v>
      </c>
      <c r="AX46" s="21" cm="1">
        <f t="array" aca="1" ref="AX46" ca="1">SUM(INDIRECT(ADDRESS(savings_min_row,COLUMN()) &amp; ":" &amp; ADDRESS(savings_max_row, COLUMN())))</f>
        <v>0</v>
      </c>
      <c r="AY46" s="21" cm="1">
        <f t="array" aca="1" ref="AY46" ca="1">SUM(INDIRECT(ADDRESS(savings_min_row,COLUMN()) &amp; ":" &amp; ADDRESS(savings_max_row, COLUMN())))</f>
        <v>0</v>
      </c>
      <c r="AZ46" s="21" cm="1">
        <f t="array" aca="1" ref="AZ46" ca="1">SUM(INDIRECT(ADDRESS(savings_min_row,COLUMN()) &amp; ":" &amp; ADDRESS(savings_max_row, COLUMN())))</f>
        <v>0</v>
      </c>
      <c r="BA46" s="21" cm="1">
        <f t="array" aca="1" ref="BA46" ca="1">SUM(INDIRECT(ADDRESS(savings_min_row,COLUMN()) &amp; ":" &amp; ADDRESS(savings_max_row, COLUMN())))</f>
        <v>0</v>
      </c>
      <c r="BB46" s="21" cm="1">
        <f t="array" aca="1" ref="BB46" ca="1">SUM(INDIRECT(ADDRESS(savings_min_row,COLUMN()) &amp; ":" &amp; ADDRESS(savings_max_row, COLUMN())))</f>
        <v>0</v>
      </c>
      <c r="BC46" s="21" cm="1">
        <f t="array" aca="1" ref="BC46" ca="1">SUM(INDIRECT(ADDRESS(savings_min_row,COLUMN()) &amp; ":" &amp; ADDRESS(savings_max_row, COLUMN())))</f>
        <v>0</v>
      </c>
      <c r="BD46" s="21" cm="1">
        <f t="array" aca="1" ref="BD46" ca="1">SUM(INDIRECT(ADDRESS(savings_min_row,COLUMN()) &amp; ":" &amp; ADDRESS(savings_max_row, COLUMN())))</f>
        <v>0</v>
      </c>
      <c r="BE46" s="21" cm="1">
        <f t="array" aca="1" ref="BE46" ca="1">SUM(INDIRECT(ADDRESS(savings_min_row,COLUMN()) &amp; ":" &amp; ADDRESS(savings_max_row, COLUMN())))</f>
        <v>0</v>
      </c>
      <c r="BF46" s="21" cm="1">
        <f t="array" aca="1" ref="BF46" ca="1">SUM(INDIRECT(ADDRESS(savings_min_row,COLUMN()) &amp; ":" &amp; ADDRESS(savings_max_row, COLUMN())))</f>
        <v>0</v>
      </c>
      <c r="BG46" s="21">
        <f t="shared" ca="1" si="30"/>
        <v>0</v>
      </c>
      <c r="BI46" s="21" cm="1">
        <f t="array" aca="1" ref="BI46" ca="1">SUM(INDIRECT(ADDRESS(savings_min_row,COLUMN()) &amp; ":" &amp; ADDRESS(savings_max_row, COLUMN())))</f>
        <v>0</v>
      </c>
      <c r="BJ46" s="21" cm="1">
        <f t="array" aca="1" ref="BJ46" ca="1">SUM(INDIRECT(ADDRESS(savings_min_row,COLUMN()) &amp; ":" &amp; ADDRESS(savings_max_row, COLUMN())))</f>
        <v>0</v>
      </c>
      <c r="BK46" s="21" cm="1">
        <f t="array" aca="1" ref="BK46" ca="1">SUM(INDIRECT(ADDRESS(savings_min_row,COLUMN()) &amp; ":" &amp; ADDRESS(savings_max_row, COLUMN())))</f>
        <v>0</v>
      </c>
      <c r="BL46" s="21" cm="1">
        <f t="array" aca="1" ref="BL46" ca="1">SUM(INDIRECT(ADDRESS(savings_min_row,COLUMN()) &amp; ":" &amp; ADDRESS(savings_max_row, COLUMN())))</f>
        <v>0</v>
      </c>
      <c r="BM46" s="21" cm="1">
        <f t="array" aca="1" ref="BM46" ca="1">SUM(INDIRECT(ADDRESS(savings_min_row,COLUMN()) &amp; ":" &amp; ADDRESS(savings_max_row, COLUMN())))</f>
        <v>0</v>
      </c>
      <c r="BN46" s="21" cm="1">
        <f t="array" aca="1" ref="BN46" ca="1">SUM(INDIRECT(ADDRESS(savings_min_row,COLUMN()) &amp; ":" &amp; ADDRESS(savings_max_row, COLUMN())))</f>
        <v>0</v>
      </c>
      <c r="BO46" s="21" cm="1">
        <f t="array" aca="1" ref="BO46" ca="1">SUM(INDIRECT(ADDRESS(savings_min_row,COLUMN()) &amp; ":" &amp; ADDRESS(savings_max_row, COLUMN())))</f>
        <v>0</v>
      </c>
      <c r="BP46" s="21" cm="1">
        <f t="array" aca="1" ref="BP46" ca="1">SUM(INDIRECT(ADDRESS(savings_min_row,COLUMN()) &amp; ":" &amp; ADDRESS(savings_max_row, COLUMN())))</f>
        <v>0</v>
      </c>
      <c r="BQ46" s="21" cm="1">
        <f t="array" aca="1" ref="BQ46" ca="1">SUM(INDIRECT(ADDRESS(savings_min_row,COLUMN()) &amp; ":" &amp; ADDRESS(savings_max_row, COLUMN())))</f>
        <v>0</v>
      </c>
      <c r="BR46" s="21" cm="1">
        <f t="array" aca="1" ref="BR46" ca="1">SUM(INDIRECT(ADDRESS(savings_min_row,COLUMN()) &amp; ":" &amp; ADDRESS(savings_max_row, COLUMN())))</f>
        <v>0</v>
      </c>
      <c r="BS46" s="21" cm="1">
        <f t="array" aca="1" ref="BS46" ca="1">SUM(INDIRECT(ADDRESS(savings_min_row,COLUMN()) &amp; ":" &amp; ADDRESS(savings_max_row, COLUMN())))</f>
        <v>0</v>
      </c>
      <c r="BT46" s="21" cm="1">
        <f t="array" aca="1" ref="BT46" ca="1">SUM(INDIRECT(ADDRESS(savings_min_row,COLUMN()) &amp; ":" &amp; ADDRESS(savings_max_row, COLUMN())))</f>
        <v>0</v>
      </c>
      <c r="BU46" s="21">
        <f t="shared" ca="1" si="31"/>
        <v>0</v>
      </c>
      <c r="BW46" s="21" cm="1">
        <f t="array" aca="1" ref="BW46" ca="1">SUM(INDIRECT(ADDRESS(savings_min_row,COLUMN()) &amp; ":" &amp; ADDRESS(savings_max_row, COLUMN())))</f>
        <v>0</v>
      </c>
      <c r="BX46" s="21" cm="1">
        <f t="array" aca="1" ref="BX46" ca="1">SUM(INDIRECT(ADDRESS(savings_min_row,COLUMN()) &amp; ":" &amp; ADDRESS(savings_max_row, COLUMN())))</f>
        <v>0</v>
      </c>
      <c r="BY46" s="21" cm="1">
        <f t="array" aca="1" ref="BY46" ca="1">SUM(INDIRECT(ADDRESS(savings_min_row,COLUMN()) &amp; ":" &amp; ADDRESS(savings_max_row, COLUMN())))</f>
        <v>0</v>
      </c>
      <c r="BZ46" s="21" cm="1">
        <f t="array" aca="1" ref="BZ46" ca="1">SUM(INDIRECT(ADDRESS(savings_min_row,COLUMN()) &amp; ":" &amp; ADDRESS(savings_max_row, COLUMN())))</f>
        <v>0</v>
      </c>
      <c r="CA46" s="21" cm="1">
        <f t="array" aca="1" ref="CA46" ca="1">SUM(INDIRECT(ADDRESS(savings_min_row,COLUMN()) &amp; ":" &amp; ADDRESS(savings_max_row, COLUMN())))</f>
        <v>0</v>
      </c>
      <c r="CB46" s="21" cm="1">
        <f t="array" aca="1" ref="CB46" ca="1">SUM(INDIRECT(ADDRESS(savings_min_row,COLUMN()) &amp; ":" &amp; ADDRESS(savings_max_row, COLUMN())))</f>
        <v>0</v>
      </c>
      <c r="CC46" s="21" cm="1">
        <f t="array" aca="1" ref="CC46" ca="1">SUM(INDIRECT(ADDRESS(savings_min_row,COLUMN()) &amp; ":" &amp; ADDRESS(savings_max_row, COLUMN())))</f>
        <v>0</v>
      </c>
      <c r="CD46" s="21" cm="1">
        <f t="array" aca="1" ref="CD46" ca="1">SUM(INDIRECT(ADDRESS(savings_min_row,COLUMN()) &amp; ":" &amp; ADDRESS(savings_max_row, COLUMN())))</f>
        <v>0</v>
      </c>
      <c r="CE46" s="21" cm="1">
        <f t="array" aca="1" ref="CE46" ca="1">SUM(INDIRECT(ADDRESS(savings_min_row,COLUMN()) &amp; ":" &amp; ADDRESS(savings_max_row, COLUMN())))</f>
        <v>0</v>
      </c>
      <c r="CF46" s="21" cm="1">
        <f t="array" aca="1" ref="CF46" ca="1">SUM(INDIRECT(ADDRESS(savings_min_row,COLUMN()) &amp; ":" &amp; ADDRESS(savings_max_row, COLUMN())))</f>
        <v>0</v>
      </c>
      <c r="CG46" s="21" cm="1">
        <f t="array" aca="1" ref="CG46" ca="1">SUM(INDIRECT(ADDRESS(savings_min_row,COLUMN()) &amp; ":" &amp; ADDRESS(savings_max_row, COLUMN())))</f>
        <v>0</v>
      </c>
      <c r="CH46" s="21" cm="1">
        <f t="array" aca="1" ref="CH46" ca="1">SUM(INDIRECT(ADDRESS(savings_min_row,COLUMN()) &amp; ":" &amp; ADDRESS(savings_max_row, COLUMN())))</f>
        <v>0</v>
      </c>
      <c r="CI46" s="21">
        <f t="shared" ca="1" si="32"/>
        <v>0</v>
      </c>
      <c r="CK46" s="21" cm="1">
        <f t="array" aca="1" ref="CK46" ca="1">SUM(INDIRECT(ADDRESS(savings_min_row,COLUMN()) &amp; ":" &amp; ADDRESS(savings_max_row, COLUMN())))</f>
        <v>0</v>
      </c>
      <c r="CL46" s="21" cm="1">
        <f t="array" aca="1" ref="CL46" ca="1">SUM(INDIRECT(ADDRESS(savings_min_row,COLUMN()) &amp; ":" &amp; ADDRESS(savings_max_row, COLUMN())))</f>
        <v>0</v>
      </c>
      <c r="CM46" s="21" cm="1">
        <f t="array" aca="1" ref="CM46" ca="1">SUM(INDIRECT(ADDRESS(savings_min_row,COLUMN()) &amp; ":" &amp; ADDRESS(savings_max_row, COLUMN())))</f>
        <v>0</v>
      </c>
      <c r="CN46" s="21" cm="1">
        <f t="array" aca="1" ref="CN46" ca="1">SUM(INDIRECT(ADDRESS(savings_min_row,COLUMN()) &amp; ":" &amp; ADDRESS(savings_max_row, COLUMN())))</f>
        <v>0</v>
      </c>
      <c r="CO46" s="21" cm="1">
        <f t="array" aca="1" ref="CO46" ca="1">SUM(INDIRECT(ADDRESS(savings_min_row,COLUMN()) &amp; ":" &amp; ADDRESS(savings_max_row, COLUMN())))</f>
        <v>0</v>
      </c>
      <c r="CP46" s="21" cm="1">
        <f t="array" aca="1" ref="CP46" ca="1">SUM(INDIRECT(ADDRESS(savings_min_row,COLUMN()) &amp; ":" &amp; ADDRESS(savings_max_row, COLUMN())))</f>
        <v>0</v>
      </c>
      <c r="CQ46" s="21" cm="1">
        <f t="array" aca="1" ref="CQ46" ca="1">SUM(INDIRECT(ADDRESS(savings_min_row,COLUMN()) &amp; ":" &amp; ADDRESS(savings_max_row, COLUMN())))</f>
        <v>0</v>
      </c>
      <c r="CR46" s="21" cm="1">
        <f t="array" aca="1" ref="CR46" ca="1">SUM(INDIRECT(ADDRESS(savings_min_row,COLUMN()) &amp; ":" &amp; ADDRESS(savings_max_row, COLUMN())))</f>
        <v>0</v>
      </c>
      <c r="CS46" s="21" cm="1">
        <f t="array" aca="1" ref="CS46" ca="1">SUM(INDIRECT(ADDRESS(savings_min_row,COLUMN()) &amp; ":" &amp; ADDRESS(savings_max_row, COLUMN())))</f>
        <v>0</v>
      </c>
      <c r="CT46" s="21" cm="1">
        <f t="array" aca="1" ref="CT46" ca="1">SUM(INDIRECT(ADDRESS(savings_min_row,COLUMN()) &amp; ":" &amp; ADDRESS(savings_max_row, COLUMN())))</f>
        <v>0</v>
      </c>
      <c r="CU46" s="21" cm="1">
        <f t="array" aca="1" ref="CU46" ca="1">SUM(INDIRECT(ADDRESS(savings_min_row,COLUMN()) &amp; ":" &amp; ADDRESS(savings_max_row, COLUMN())))</f>
        <v>0</v>
      </c>
      <c r="CV46" s="21" cm="1">
        <f t="array" aca="1" ref="CV46" ca="1">SUM(INDIRECT(ADDRESS(savings_min_row,COLUMN()) &amp; ":" &amp; ADDRESS(savings_max_row, COLUMN())))</f>
        <v>0</v>
      </c>
      <c r="CW46" s="21">
        <f t="shared" ca="1" si="33"/>
        <v>0</v>
      </c>
      <c r="CY46" s="21" cm="1">
        <f t="array" aca="1" ref="CY46" ca="1">SUM(INDIRECT(ADDRESS(savings_min_row,COLUMN()) &amp; ":" &amp; ADDRESS(savings_max_row, COLUMN())))</f>
        <v>0</v>
      </c>
      <c r="CZ46" s="21" cm="1">
        <f t="array" aca="1" ref="CZ46" ca="1">SUM(INDIRECT(ADDRESS(savings_min_row,COLUMN()) &amp; ":" &amp; ADDRESS(savings_max_row, COLUMN())))</f>
        <v>0</v>
      </c>
      <c r="DA46" s="21" cm="1">
        <f t="array" aca="1" ref="DA46" ca="1">SUM(INDIRECT(ADDRESS(savings_min_row,COLUMN()) &amp; ":" &amp; ADDRESS(savings_max_row, COLUMN())))</f>
        <v>0</v>
      </c>
      <c r="DB46" s="21" cm="1">
        <f t="array" aca="1" ref="DB46" ca="1">SUM(INDIRECT(ADDRESS(savings_min_row,COLUMN()) &amp; ":" &amp; ADDRESS(savings_max_row, COLUMN())))</f>
        <v>0</v>
      </c>
      <c r="DC46" s="21" cm="1">
        <f t="array" aca="1" ref="DC46" ca="1">SUM(INDIRECT(ADDRESS(savings_min_row,COLUMN()) &amp; ":" &amp; ADDRESS(savings_max_row, COLUMN())))</f>
        <v>0</v>
      </c>
      <c r="DD46" s="21" cm="1">
        <f t="array" aca="1" ref="DD46" ca="1">SUM(INDIRECT(ADDRESS(savings_min_row,COLUMN()) &amp; ":" &amp; ADDRESS(savings_max_row, COLUMN())))</f>
        <v>0</v>
      </c>
      <c r="DE46" s="21" cm="1">
        <f t="array" aca="1" ref="DE46" ca="1">SUM(INDIRECT(ADDRESS(savings_min_row,COLUMN()) &amp; ":" &amp; ADDRESS(savings_max_row, COLUMN())))</f>
        <v>0</v>
      </c>
      <c r="DF46" s="21" cm="1">
        <f t="array" aca="1" ref="DF46" ca="1">SUM(INDIRECT(ADDRESS(savings_min_row,COLUMN()) &amp; ":" &amp; ADDRESS(savings_max_row, COLUMN())))</f>
        <v>0</v>
      </c>
      <c r="DG46" s="21" cm="1">
        <f t="array" aca="1" ref="DG46" ca="1">SUM(INDIRECT(ADDRESS(savings_min_row,COLUMN()) &amp; ":" &amp; ADDRESS(savings_max_row, COLUMN())))</f>
        <v>0</v>
      </c>
      <c r="DH46" s="21" cm="1">
        <f t="array" aca="1" ref="DH46" ca="1">SUM(INDIRECT(ADDRESS(savings_min_row,COLUMN()) &amp; ":" &amp; ADDRESS(savings_max_row, COLUMN())))</f>
        <v>0</v>
      </c>
      <c r="DI46" s="21" cm="1">
        <f t="array" aca="1" ref="DI46" ca="1">SUM(INDIRECT(ADDRESS(savings_min_row,COLUMN()) &amp; ":" &amp; ADDRESS(savings_max_row, COLUMN())))</f>
        <v>0</v>
      </c>
      <c r="DJ46" s="21" cm="1">
        <f t="array" aca="1" ref="DJ46" ca="1">SUM(INDIRECT(ADDRESS(savings_min_row,COLUMN()) &amp; ":" &amp; ADDRESS(savings_max_row, COLUMN())))</f>
        <v>0</v>
      </c>
      <c r="DK46" s="21">
        <f t="shared" ca="1" si="34"/>
        <v>0</v>
      </c>
      <c r="DM46" s="21" cm="1">
        <f t="array" aca="1" ref="DM46" ca="1">SUM(INDIRECT(ADDRESS(savings_min_row,COLUMN()) &amp; ":" &amp; ADDRESS(savings_max_row, COLUMN())))</f>
        <v>0</v>
      </c>
      <c r="DN46" s="21" cm="1">
        <f t="array" aca="1" ref="DN46" ca="1">SUM(INDIRECT(ADDRESS(savings_min_row,COLUMN()) &amp; ":" &amp; ADDRESS(savings_max_row, COLUMN())))</f>
        <v>0</v>
      </c>
      <c r="DO46" s="21" cm="1">
        <f t="array" aca="1" ref="DO46" ca="1">SUM(INDIRECT(ADDRESS(savings_min_row,COLUMN()) &amp; ":" &amp; ADDRESS(savings_max_row, COLUMN())))</f>
        <v>0</v>
      </c>
      <c r="DP46" s="21" cm="1">
        <f t="array" aca="1" ref="DP46" ca="1">SUM(INDIRECT(ADDRESS(savings_min_row,COLUMN()) &amp; ":" &amp; ADDRESS(savings_max_row, COLUMN())))</f>
        <v>0</v>
      </c>
      <c r="DQ46" s="21" cm="1">
        <f t="array" aca="1" ref="DQ46" ca="1">SUM(INDIRECT(ADDRESS(savings_min_row,COLUMN()) &amp; ":" &amp; ADDRESS(savings_max_row, COLUMN())))</f>
        <v>0</v>
      </c>
      <c r="DR46" s="21" cm="1">
        <f t="array" aca="1" ref="DR46" ca="1">SUM(INDIRECT(ADDRESS(savings_min_row,COLUMN()) &amp; ":" &amp; ADDRESS(savings_max_row, COLUMN())))</f>
        <v>0</v>
      </c>
      <c r="DS46" s="21" cm="1">
        <f t="array" aca="1" ref="DS46" ca="1">SUM(INDIRECT(ADDRESS(savings_min_row,COLUMN()) &amp; ":" &amp; ADDRESS(savings_max_row, COLUMN())))</f>
        <v>0</v>
      </c>
      <c r="DT46" s="21" cm="1">
        <f t="array" aca="1" ref="DT46" ca="1">SUM(INDIRECT(ADDRESS(savings_min_row,COLUMN()) &amp; ":" &amp; ADDRESS(savings_max_row, COLUMN())))</f>
        <v>0</v>
      </c>
      <c r="DU46" s="21" cm="1">
        <f t="array" aca="1" ref="DU46" ca="1">SUM(INDIRECT(ADDRESS(savings_min_row,COLUMN()) &amp; ":" &amp; ADDRESS(savings_max_row, COLUMN())))</f>
        <v>0</v>
      </c>
      <c r="DV46" s="21" cm="1">
        <f t="array" aca="1" ref="DV46" ca="1">SUM(INDIRECT(ADDRESS(savings_min_row,COLUMN()) &amp; ":" &amp; ADDRESS(savings_max_row, COLUMN())))</f>
        <v>0</v>
      </c>
      <c r="DW46" s="21" cm="1">
        <f t="array" aca="1" ref="DW46" ca="1">SUM(INDIRECT(ADDRESS(savings_min_row,COLUMN()) &amp; ":" &amp; ADDRESS(savings_max_row, COLUMN())))</f>
        <v>0</v>
      </c>
      <c r="DX46" s="21" cm="1">
        <f t="array" aca="1" ref="DX46" ca="1">SUM(INDIRECT(ADDRESS(savings_min_row,COLUMN()) &amp; ":" &amp; ADDRESS(savings_max_row, COLUMN())))</f>
        <v>0</v>
      </c>
      <c r="DY46" s="21">
        <f t="shared" ca="1" si="35"/>
        <v>0</v>
      </c>
    </row>
  </sheetData>
  <mergeCells count="9">
    <mergeCell ref="BW5:CI5"/>
    <mergeCell ref="CK5:CW5"/>
    <mergeCell ref="CY5:DK5"/>
    <mergeCell ref="DM5:DY5"/>
    <mergeCell ref="E5:Q5"/>
    <mergeCell ref="S5:AE5"/>
    <mergeCell ref="AG5:AS5"/>
    <mergeCell ref="AU5:BG5"/>
    <mergeCell ref="BI5:BU5"/>
  </mergeCells>
  <conditionalFormatting sqref="C23:C32 E23:P32 S23:AD32 AG23:AR32 AU23:BF32 BI23:BT32 BW23:CH32 CK23:CV32 CY23:DJ32 DM23:DX32">
    <cfRule type="expression" dxfId="33" priority="5">
      <formula>ROW(A23)&lt;=expenses_max_row</formula>
    </cfRule>
  </conditionalFormatting>
  <conditionalFormatting sqref="C36:C45 E36:P45 S36:AD45 AG36:AR45 AU36:BF45 BI36:BT45 BW36:CH45 CK36:CV45 CY36:DJ45 DM36:DX45">
    <cfRule type="expression" dxfId="32" priority="4">
      <formula>ROW(A36)&lt;=savings_max_row</formula>
    </cfRule>
  </conditionalFormatting>
  <conditionalFormatting sqref="E6:Q7 S6:AE7 AG6:AS7 AU6:BG7 BI6:BU7 BW6:CI7 CK6:CW7 CY6:DK7 DM6:DY7">
    <cfRule type="expression" dxfId="31" priority="1" stopIfTrue="1">
      <formula>AND(E$20=0, E$33=0, E$46=0)</formula>
    </cfRule>
  </conditionalFormatting>
  <conditionalFormatting sqref="E7:Q7 S7:AE7 AG7:AS7 AU7:BG7 BI7:BU7 BW7:CI7 CK7:CW7 CY7:DK7 DM7:DY7">
    <cfRule type="expression" dxfId="30" priority="2" stopIfTrue="1">
      <formula>E$7&gt;0</formula>
    </cfRule>
    <cfRule type="expression" dxfId="29" priority="3">
      <formula>E$7&lt;0</formula>
    </cfRule>
  </conditionalFormatting>
  <conditionalFormatting sqref="E10:Q11 S10:AE11 AG10:AS11 AU10:BG11 BI10:BU11 BW10:CI11 CK10:CW11 CY10:DK11 DM10:DY11 C10:C19 E12:P19 S12:AD19 AG12:AR19 AU12:BF19 BI12:BT19 BW12:CH19 CK12:CV19 CY12:DJ19 DM12:DX19 Q12:Q20 AE12:AE20 AS12:AS20 BG12:BG20 BU12:BU20 CI12:CI20 CW12:CW20 DK12:DK20 DY12:DY20">
    <cfRule type="expression" dxfId="28" priority="6">
      <formula>ROW(A10)&lt;=income_max_row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251D-A343-435F-8AE1-219768968FE9}">
  <sheetPr codeName="Sheet4"/>
  <dimension ref="A1:AV57"/>
  <sheetViews>
    <sheetView showGridLines="0" zoomScale="90" zoomScaleNormal="90" workbookViewId="0">
      <selection activeCell="C26" sqref="C26"/>
    </sheetView>
  </sheetViews>
  <sheetFormatPr defaultRowHeight="14.4" x14ac:dyDescent="0.3"/>
  <cols>
    <col min="3" max="4" width="12.88671875" customWidth="1"/>
    <col min="5" max="5" width="20.5546875" customWidth="1"/>
    <col min="6" max="6" width="12.88671875" customWidth="1"/>
    <col min="7" max="7" width="16.21875" customWidth="1"/>
    <col min="8" max="8" width="16.77734375" customWidth="1"/>
    <col min="9" max="9" width="20.88671875" customWidth="1"/>
  </cols>
  <sheetData>
    <row r="1" spans="1:48" ht="15.6" x14ac:dyDescent="0.3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2"/>
    </row>
    <row r="2" spans="1:48" ht="23.4" x14ac:dyDescent="0.3">
      <c r="A2" s="38"/>
      <c r="B2" s="39" t="s">
        <v>31</v>
      </c>
      <c r="C2" s="39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4"/>
    </row>
    <row r="3" spans="1:48" ht="16.2" thickBot="1" x14ac:dyDescent="0.3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7"/>
    </row>
    <row r="11" spans="1:48" ht="16.2" thickBot="1" x14ac:dyDescent="0.35">
      <c r="C11" s="108" t="s">
        <v>32</v>
      </c>
      <c r="D11" s="109" t="s">
        <v>33</v>
      </c>
      <c r="E11" s="109" t="s">
        <v>34</v>
      </c>
      <c r="F11" s="109" t="s">
        <v>35</v>
      </c>
      <c r="G11" s="109" t="s">
        <v>36</v>
      </c>
      <c r="H11" s="110" t="s">
        <v>37</v>
      </c>
      <c r="I11" s="111" t="s">
        <v>38</v>
      </c>
    </row>
    <row r="12" spans="1:48" hidden="1" x14ac:dyDescent="0.3">
      <c r="C12" s="112">
        <v>44552</v>
      </c>
      <c r="D12" s="40" t="s">
        <v>6</v>
      </c>
      <c r="E12" s="40" t="s">
        <v>9</v>
      </c>
      <c r="F12" s="113">
        <v>3500</v>
      </c>
      <c r="G12" s="42"/>
      <c r="H12" s="114" cm="1">
        <f t="array" ref="H12">SUMPRODUCT(Tracking[Amount],-- (Tracking[Date]&lt;=Tracking[[#This Row],[Date]]), (Tracking[Type]&lt;&gt;"Income")*(-1)+(Tracking[Type]="Income"))</f>
        <v>3500</v>
      </c>
      <c r="I12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44562</v>
      </c>
      <c r="K12" s="96"/>
      <c r="M12" s="96"/>
    </row>
    <row r="13" spans="1:48" hidden="1" x14ac:dyDescent="0.3">
      <c r="C13" s="112">
        <v>44563</v>
      </c>
      <c r="D13" s="40" t="s">
        <v>12</v>
      </c>
      <c r="E13" s="40" t="s">
        <v>13</v>
      </c>
      <c r="F13" s="113">
        <v>1200</v>
      </c>
      <c r="G13" s="42"/>
      <c r="H13" s="114" cm="1">
        <f t="array" ref="H13">SUMPRODUCT(Tracking[Amount],-- (Tracking[Date]&lt;=Tracking[[#This Row],[Date]]), (Tracking[Type]&lt;&gt;"Income")*(-1)+(Tracking[Type]="Income"))</f>
        <v>2300</v>
      </c>
      <c r="I13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44563</v>
      </c>
      <c r="M13" s="96"/>
    </row>
    <row r="14" spans="1:48" hidden="1" x14ac:dyDescent="0.3">
      <c r="C14" s="112">
        <v>44564</v>
      </c>
      <c r="D14" s="40" t="s">
        <v>12</v>
      </c>
      <c r="E14" s="40" t="s">
        <v>25</v>
      </c>
      <c r="F14" s="113">
        <v>150</v>
      </c>
      <c r="G14" s="42"/>
      <c r="H14" s="114" cm="1">
        <f t="array" ref="H14">SUMPRODUCT(Tracking[Amount],-- (Tracking[Date]&lt;=Tracking[[#This Row],[Date]]), (Tracking[Type]&lt;&gt;"Income")*(-1)+(Tracking[Type]="Income"))</f>
        <v>2150</v>
      </c>
      <c r="I14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44564</v>
      </c>
      <c r="M14" s="96"/>
    </row>
    <row r="15" spans="1:48" hidden="1" x14ac:dyDescent="0.3">
      <c r="C15" s="112">
        <v>44565</v>
      </c>
      <c r="D15" s="40" t="s">
        <v>16</v>
      </c>
      <c r="E15" s="40" t="s">
        <v>17</v>
      </c>
      <c r="F15" s="113">
        <v>1000</v>
      </c>
      <c r="G15" s="42"/>
      <c r="H15" s="114" cm="1">
        <f t="array" ref="H15">SUMPRODUCT(Tracking[Amount],-- (Tracking[Date]&lt;=Tracking[[#This Row],[Date]]), (Tracking[Type]&lt;&gt;"Income")*(-1)+(Tracking[Type]="Income"))</f>
        <v>1150</v>
      </c>
      <c r="I15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44565</v>
      </c>
      <c r="M15" s="96"/>
    </row>
    <row r="16" spans="1:48" hidden="1" x14ac:dyDescent="0.3">
      <c r="C16" s="112">
        <v>44566</v>
      </c>
      <c r="D16" s="40" t="s">
        <v>6</v>
      </c>
      <c r="E16" s="40" t="s">
        <v>10</v>
      </c>
      <c r="F16" s="113">
        <v>500</v>
      </c>
      <c r="G16" s="42"/>
      <c r="H16" s="114" cm="1">
        <f t="array" ref="H16">SUMPRODUCT(Tracking[Amount],-- (Tracking[Date]&lt;=Tracking[[#This Row],[Date]]), (Tracking[Type]&lt;&gt;"Income")*(-1)+(Tracking[Type]="Income"))</f>
        <v>1650</v>
      </c>
      <c r="I16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44566</v>
      </c>
      <c r="M16" s="96"/>
    </row>
    <row r="17" spans="3:13" hidden="1" x14ac:dyDescent="0.3">
      <c r="C17" s="112">
        <v>44567</v>
      </c>
      <c r="D17" s="116" t="s">
        <v>77</v>
      </c>
      <c r="E17" s="116" t="s">
        <v>15</v>
      </c>
      <c r="F17" s="117">
        <v>200</v>
      </c>
      <c r="G17" s="118"/>
      <c r="H17" s="114" cm="1">
        <f t="array" ref="H17">SUMPRODUCT(Tracking[Amount],-- (Tracking[Date]&lt;=Tracking[[#This Row],[Date]]), (Tracking[Type]&lt;&gt;"Income")*(-1)+(Tracking[Type]="Income"))</f>
        <v>1450</v>
      </c>
      <c r="I17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44567</v>
      </c>
      <c r="M17" s="96"/>
    </row>
    <row r="18" spans="3:13" hidden="1" x14ac:dyDescent="0.3">
      <c r="C18" s="112">
        <v>44568</v>
      </c>
      <c r="D18" s="116" t="s">
        <v>12</v>
      </c>
      <c r="E18" s="116" t="s">
        <v>23</v>
      </c>
      <c r="F18" s="117">
        <v>100</v>
      </c>
      <c r="G18" s="118"/>
      <c r="H18" s="114" cm="1">
        <f t="array" ref="H18">SUMPRODUCT(Tracking[Amount],-- (Tracking[Date]&lt;=Tracking[[#This Row],[Date]]), (Tracking[Type]&lt;&gt;"Income")*(-1)+(Tracking[Type]="Income"))</f>
        <v>1350</v>
      </c>
      <c r="I18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44568</v>
      </c>
      <c r="M18" s="96"/>
    </row>
    <row r="19" spans="3:13" hidden="1" x14ac:dyDescent="0.3">
      <c r="C19" s="112">
        <v>44569</v>
      </c>
      <c r="D19" s="116" t="s">
        <v>16</v>
      </c>
      <c r="E19" s="116" t="s">
        <v>18</v>
      </c>
      <c r="F19" s="117">
        <v>500</v>
      </c>
      <c r="G19" s="118"/>
      <c r="H19" s="114" cm="1">
        <f t="array" ref="H19">SUMPRODUCT(Tracking[Amount],-- (Tracking[Date]&lt;=Tracking[[#This Row],[Date]]), (Tracking[Type]&lt;&gt;"Income")*(-1)+(Tracking[Type]="Income"))</f>
        <v>850</v>
      </c>
      <c r="I19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44569</v>
      </c>
    </row>
    <row r="20" spans="3:13" hidden="1" x14ac:dyDescent="0.3">
      <c r="C20" s="112">
        <v>44570</v>
      </c>
      <c r="D20" s="116" t="s">
        <v>12</v>
      </c>
      <c r="E20" s="116" t="s">
        <v>15</v>
      </c>
      <c r="F20" s="117">
        <v>500</v>
      </c>
      <c r="G20" s="118"/>
      <c r="H20" s="114" cm="1">
        <f t="array" ref="H20">SUMPRODUCT(Tracking[Amount],-- (Tracking[Date]&lt;=Tracking[[#This Row],[Date]]), (Tracking[Type]&lt;&gt;"Income")*(-1)+(Tracking[Type]="Income"))</f>
        <v>350</v>
      </c>
      <c r="I20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44570</v>
      </c>
    </row>
    <row r="21" spans="3:13" hidden="1" x14ac:dyDescent="0.3">
      <c r="C21" s="112">
        <v>44571</v>
      </c>
      <c r="D21" s="116" t="s">
        <v>12</v>
      </c>
      <c r="E21" s="116" t="s">
        <v>23</v>
      </c>
      <c r="F21" s="117">
        <v>200</v>
      </c>
      <c r="G21" s="118"/>
      <c r="H21" s="114" cm="1">
        <f t="array" ref="H21">SUMPRODUCT(Tracking[Amount],-- (Tracking[Date]&lt;=Tracking[[#This Row],[Date]]), (Tracking[Type]&lt;&gt;"Income")*(-1)+(Tracking[Type]="Income"))</f>
        <v>150</v>
      </c>
      <c r="I21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44571</v>
      </c>
    </row>
    <row r="22" spans="3:13" hidden="1" x14ac:dyDescent="0.3">
      <c r="C22" s="112">
        <v>44573</v>
      </c>
      <c r="D22" s="40" t="s">
        <v>6</v>
      </c>
      <c r="E22" s="40" t="s">
        <v>10</v>
      </c>
      <c r="F22" s="113">
        <v>500</v>
      </c>
      <c r="G22" s="42"/>
      <c r="H22" s="114" cm="1">
        <f t="array" ref="H22">SUMPRODUCT(Tracking[Amount],-- (Tracking[Date]&lt;=Tracking[[#This Row],[Date]]), (Tracking[Type]&lt;&gt;"Income")*(-1)+(Tracking[Type]="Income"))</f>
        <v>650</v>
      </c>
      <c r="I22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44573</v>
      </c>
    </row>
    <row r="23" spans="3:13" hidden="1" x14ac:dyDescent="0.3">
      <c r="C23" s="112">
        <v>44574</v>
      </c>
      <c r="D23" s="40" t="s">
        <v>6</v>
      </c>
      <c r="E23" s="40" t="s">
        <v>9</v>
      </c>
      <c r="F23" s="113">
        <v>1000</v>
      </c>
      <c r="G23" s="42"/>
      <c r="H23" s="114" cm="1">
        <f t="array" ref="H23">SUMPRODUCT(Tracking[Amount],-- (Tracking[Date]&lt;=Tracking[[#This Row],[Date]]), (Tracking[Type]&lt;&gt;"Income")*(-1)+(Tracking[Type]="Income"))</f>
        <v>1650</v>
      </c>
      <c r="I23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44574</v>
      </c>
    </row>
    <row r="24" spans="3:13" hidden="1" x14ac:dyDescent="0.3">
      <c r="C24" s="112">
        <v>44575</v>
      </c>
      <c r="D24" s="40" t="s">
        <v>12</v>
      </c>
      <c r="E24" s="40" t="s">
        <v>15</v>
      </c>
      <c r="F24" s="113">
        <v>200</v>
      </c>
      <c r="G24" s="42"/>
      <c r="H24" s="114" cm="1">
        <f t="array" ref="H24">SUMPRODUCT(Tracking[Amount],-- (Tracking[Date]&lt;=Tracking[[#This Row],[Date]]), (Tracking[Type]&lt;&gt;"Income")*(-1)+(Tracking[Type]="Income"))</f>
        <v>1450</v>
      </c>
      <c r="I24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44575</v>
      </c>
    </row>
    <row r="25" spans="3:13" hidden="1" x14ac:dyDescent="0.3">
      <c r="C25" s="112">
        <v>44576</v>
      </c>
      <c r="D25" s="40" t="s">
        <v>12</v>
      </c>
      <c r="E25" s="40" t="s">
        <v>26</v>
      </c>
      <c r="F25" s="113">
        <v>300</v>
      </c>
      <c r="G25" s="42"/>
      <c r="H25" s="114" cm="1">
        <f t="array" ref="H25">SUMPRODUCT(Tracking[Amount],-- (Tracking[Date]&lt;=Tracking[[#This Row],[Date]]), (Tracking[Type]&lt;&gt;"Income")*(-1)+(Tracking[Type]="Income"))</f>
        <v>1150</v>
      </c>
      <c r="I25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44576</v>
      </c>
    </row>
    <row r="26" spans="3:13" hidden="1" x14ac:dyDescent="0.3">
      <c r="C26" s="112">
        <v>44577</v>
      </c>
      <c r="D26" s="40" t="s">
        <v>12</v>
      </c>
      <c r="E26" s="40" t="s">
        <v>15</v>
      </c>
      <c r="F26" s="113">
        <v>600</v>
      </c>
      <c r="G26" s="42"/>
      <c r="H26" s="114" cm="1">
        <f t="array" ref="H26">SUMPRODUCT(Tracking[Amount],-- (Tracking[Date]&lt;=Tracking[[#This Row],[Date]]), (Tracking[Type]&lt;&gt;"Income")*(-1)+(Tracking[Type]="Income"))</f>
        <v>550</v>
      </c>
      <c r="I26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44577</v>
      </c>
    </row>
    <row r="27" spans="3:13" hidden="1" x14ac:dyDescent="0.3">
      <c r="C27" s="112">
        <v>44579</v>
      </c>
      <c r="D27" s="40" t="s">
        <v>6</v>
      </c>
      <c r="E27" s="40" t="s">
        <v>11</v>
      </c>
      <c r="F27" s="113">
        <v>300</v>
      </c>
      <c r="G27" s="42"/>
      <c r="H27" s="114" cm="1">
        <f t="array" ref="H27">SUMPRODUCT(Tracking[Amount],-- (Tracking[Date]&lt;=Tracking[[#This Row],[Date]]), (Tracking[Type]&lt;&gt;"Income")*(-1)+(Tracking[Type]="Income"))</f>
        <v>850</v>
      </c>
      <c r="I27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44579</v>
      </c>
    </row>
    <row r="28" spans="3:13" hidden="1" x14ac:dyDescent="0.3">
      <c r="C28" s="112">
        <v>44581</v>
      </c>
      <c r="D28" s="40" t="s">
        <v>12</v>
      </c>
      <c r="E28" s="40" t="s">
        <v>15</v>
      </c>
      <c r="F28" s="113">
        <v>200</v>
      </c>
      <c r="G28" s="42"/>
      <c r="H28" s="114" cm="1">
        <f t="array" ref="H28">SUMPRODUCT(Tracking[Amount],-- (Tracking[Date]&lt;=Tracking[[#This Row],[Date]]), (Tracking[Type]&lt;&gt;"Income")*(-1)+(Tracking[Type]="Income"))</f>
        <v>650</v>
      </c>
      <c r="I28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44581</v>
      </c>
    </row>
    <row r="29" spans="3:13" hidden="1" x14ac:dyDescent="0.3">
      <c r="C29" s="112">
        <v>44585</v>
      </c>
      <c r="D29" s="40" t="s">
        <v>12</v>
      </c>
      <c r="E29" s="40" t="s">
        <v>23</v>
      </c>
      <c r="F29" s="113">
        <v>100</v>
      </c>
      <c r="G29" s="42"/>
      <c r="H29" s="114" cm="1">
        <f t="array" ref="H29">SUMPRODUCT(Tracking[Amount],-- (Tracking[Date]&lt;=Tracking[[#This Row],[Date]]), (Tracking[Type]&lt;&gt;"Income")*(-1)+(Tracking[Type]="Income"))</f>
        <v>550</v>
      </c>
      <c r="I29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44585</v>
      </c>
    </row>
    <row r="30" spans="3:13" hidden="1" x14ac:dyDescent="0.3">
      <c r="C30" s="112">
        <v>44586</v>
      </c>
      <c r="D30" s="40" t="s">
        <v>6</v>
      </c>
      <c r="E30" s="40" t="s">
        <v>10</v>
      </c>
      <c r="F30" s="113">
        <v>1000</v>
      </c>
      <c r="G30" s="42"/>
      <c r="H30" s="114" cm="1">
        <f t="array" ref="H30">SUMPRODUCT(Tracking[Amount],-- (Tracking[Date]&lt;=Tracking[[#This Row],[Date]]), (Tracking[Type]&lt;&gt;"Income")*(-1)+(Tracking[Type]="Income"))</f>
        <v>1550</v>
      </c>
      <c r="I30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44593</v>
      </c>
    </row>
    <row r="31" spans="3:13" hidden="1" x14ac:dyDescent="0.3">
      <c r="C31" s="112">
        <v>44592</v>
      </c>
      <c r="D31" s="40" t="s">
        <v>12</v>
      </c>
      <c r="E31" s="40" t="s">
        <v>15</v>
      </c>
      <c r="F31" s="113">
        <v>500</v>
      </c>
      <c r="G31" s="42"/>
      <c r="H31" s="114" cm="1">
        <f t="array" ref="H31">SUMPRODUCT(Tracking[Amount],-- (Tracking[Date]&lt;=Tracking[[#This Row],[Date]]), (Tracking[Type]&lt;&gt;"Income")*(-1)+(Tracking[Type]="Income"))</f>
        <v>0</v>
      </c>
      <c r="I31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44592</v>
      </c>
    </row>
    <row r="32" spans="3:13" hidden="1" x14ac:dyDescent="0.3">
      <c r="C32" s="112">
        <v>44592</v>
      </c>
      <c r="D32" s="40" t="s">
        <v>12</v>
      </c>
      <c r="E32" s="40" t="s">
        <v>14</v>
      </c>
      <c r="F32" s="113">
        <v>900</v>
      </c>
      <c r="G32" s="42"/>
      <c r="H32" s="114" cm="1">
        <f t="array" ref="H32">SUMPRODUCT(Tracking[Amount],-- (Tracking[Date]&lt;=Tracking[[#This Row],[Date]]), (Tracking[Type]&lt;&gt;"Income")*(-1)+(Tracking[Type]="Income"))</f>
        <v>0</v>
      </c>
      <c r="I32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44592</v>
      </c>
    </row>
    <row r="33" spans="3:9" hidden="1" x14ac:dyDescent="0.3">
      <c r="C33" s="112">
        <v>44592</v>
      </c>
      <c r="D33" s="40" t="s">
        <v>12</v>
      </c>
      <c r="E33" s="40" t="s">
        <v>23</v>
      </c>
      <c r="F33" s="113">
        <v>100</v>
      </c>
      <c r="G33" s="42"/>
      <c r="H33" s="114" cm="1">
        <f t="array" ref="H33">SUMPRODUCT(Tracking[Amount],-- (Tracking[Date]&lt;=Tracking[[#This Row],[Date]]), (Tracking[Type]&lt;&gt;"Income")*(-1)+(Tracking[Type]="Income"))</f>
        <v>0</v>
      </c>
      <c r="I33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44592</v>
      </c>
    </row>
    <row r="34" spans="3:9" hidden="1" x14ac:dyDescent="0.3">
      <c r="C34" s="112">
        <v>44592</v>
      </c>
      <c r="D34" s="40" t="s">
        <v>16</v>
      </c>
      <c r="E34" s="40" t="s">
        <v>29</v>
      </c>
      <c r="F34" s="113">
        <v>50</v>
      </c>
      <c r="G34" s="42"/>
      <c r="H34" s="114" cm="1">
        <f t="array" ref="H34">SUMPRODUCT(Tracking[Amount],-- (Tracking[Date]&lt;=Tracking[[#This Row],[Date]]), (Tracking[Type]&lt;&gt;"Income")*(-1)+(Tracking[Type]="Income"))</f>
        <v>0</v>
      </c>
      <c r="I34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44592</v>
      </c>
    </row>
    <row r="35" spans="3:9" hidden="1" x14ac:dyDescent="0.3">
      <c r="C35" s="112">
        <v>44593</v>
      </c>
      <c r="D35" s="40" t="s">
        <v>12</v>
      </c>
      <c r="E35" s="40" t="s">
        <v>14</v>
      </c>
      <c r="F35" s="113">
        <v>300</v>
      </c>
      <c r="G35" s="42"/>
      <c r="H35" s="114" cm="1">
        <f t="array" ref="H35">SUMPRODUCT(Tracking[Amount],-- (Tracking[Date]&lt;=Tracking[[#This Row],[Date]]), (Tracking[Type]&lt;&gt;"Income")*(-1)+(Tracking[Type]="Income"))</f>
        <v>-300</v>
      </c>
      <c r="I35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44593</v>
      </c>
    </row>
    <row r="36" spans="3:9" hidden="1" x14ac:dyDescent="0.3">
      <c r="C36" s="112">
        <v>44594</v>
      </c>
      <c r="D36" s="40" t="s">
        <v>6</v>
      </c>
      <c r="E36" s="40" t="s">
        <v>9</v>
      </c>
      <c r="F36" s="113">
        <v>1000</v>
      </c>
      <c r="G36" s="42"/>
      <c r="H36" s="114" cm="1">
        <f t="array" ref="H36">SUMPRODUCT(Tracking[Amount],-- (Tracking[Date]&lt;=Tracking[[#This Row],[Date]]), (Tracking[Type]&lt;&gt;"Income")*(-1)+(Tracking[Type]="Income"))</f>
        <v>700</v>
      </c>
      <c r="I36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44594</v>
      </c>
    </row>
    <row r="37" spans="3:9" hidden="1" x14ac:dyDescent="0.3">
      <c r="C37" s="112">
        <v>44596</v>
      </c>
      <c r="D37" s="40" t="s">
        <v>12</v>
      </c>
      <c r="E37" s="40" t="s">
        <v>23</v>
      </c>
      <c r="F37" s="113">
        <v>200</v>
      </c>
      <c r="G37" s="42"/>
      <c r="H37" s="114" cm="1">
        <f t="array" ref="H37">SUMPRODUCT(Tracking[Amount],-- (Tracking[Date]&lt;=Tracking[[#This Row],[Date]]), (Tracking[Type]&lt;&gt;"Income")*(-1)+(Tracking[Type]="Income"))</f>
        <v>500</v>
      </c>
      <c r="I37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44596</v>
      </c>
    </row>
    <row r="38" spans="3:9" hidden="1" x14ac:dyDescent="0.3">
      <c r="C38" s="112">
        <v>44597</v>
      </c>
      <c r="D38" s="40" t="s">
        <v>16</v>
      </c>
      <c r="E38" s="40" t="s">
        <v>17</v>
      </c>
      <c r="F38" s="113">
        <v>100</v>
      </c>
      <c r="G38" s="42"/>
      <c r="H38" s="114" cm="1">
        <f t="array" ref="H38">SUMPRODUCT(Tracking[Amount],-- (Tracking[Date]&lt;=Tracking[[#This Row],[Date]]), (Tracking[Type]&lt;&gt;"Income")*(-1)+(Tracking[Type]="Income"))</f>
        <v>400</v>
      </c>
      <c r="I38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44597</v>
      </c>
    </row>
    <row r="39" spans="3:9" hidden="1" x14ac:dyDescent="0.3">
      <c r="C39" s="112">
        <v>44599</v>
      </c>
      <c r="D39" s="40" t="s">
        <v>12</v>
      </c>
      <c r="E39" s="40" t="s">
        <v>14</v>
      </c>
      <c r="F39" s="113">
        <v>200</v>
      </c>
      <c r="G39" s="42"/>
      <c r="H39" s="114" cm="1">
        <f t="array" ref="H39">SUMPRODUCT(Tracking[Amount],-- (Tracking[Date]&lt;=Tracking[[#This Row],[Date]]), (Tracking[Type]&lt;&gt;"Income")*(-1)+(Tracking[Type]="Income"))</f>
        <v>200</v>
      </c>
      <c r="I39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44599</v>
      </c>
    </row>
    <row r="40" spans="3:9" hidden="1" x14ac:dyDescent="0.3">
      <c r="C40" s="112">
        <v>44601</v>
      </c>
      <c r="D40" s="40" t="s">
        <v>12</v>
      </c>
      <c r="E40" s="40" t="s">
        <v>26</v>
      </c>
      <c r="F40" s="113">
        <v>100</v>
      </c>
      <c r="G40" s="42"/>
      <c r="H40" s="114" cm="1">
        <f t="array" ref="H40">SUMPRODUCT(Tracking[Amount],-- (Tracking[Date]&lt;=Tracking[[#This Row],[Date]]), (Tracking[Type]&lt;&gt;"Income")*(-1)+(Tracking[Type]="Income"))</f>
        <v>100</v>
      </c>
      <c r="I40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44601</v>
      </c>
    </row>
    <row r="41" spans="3:9" hidden="1" x14ac:dyDescent="0.3">
      <c r="C41" s="112">
        <v>44607</v>
      </c>
      <c r="D41" s="40" t="s">
        <v>6</v>
      </c>
      <c r="E41" s="40" t="s">
        <v>10</v>
      </c>
      <c r="F41" s="113">
        <v>2500</v>
      </c>
      <c r="G41" s="42"/>
      <c r="H41" s="114" cm="1">
        <f t="array" ref="H41">SUMPRODUCT(Tracking[Amount],-- (Tracking[Date]&lt;=Tracking[[#This Row],[Date]]), (Tracking[Type]&lt;&gt;"Income")*(-1)+(Tracking[Type]="Income"))</f>
        <v>2600</v>
      </c>
      <c r="I41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44607</v>
      </c>
    </row>
    <row r="42" spans="3:9" hidden="1" x14ac:dyDescent="0.3">
      <c r="C42" s="112">
        <v>44608</v>
      </c>
      <c r="D42" s="40" t="s">
        <v>12</v>
      </c>
      <c r="E42" s="40" t="s">
        <v>24</v>
      </c>
      <c r="F42" s="113">
        <v>600</v>
      </c>
      <c r="G42" s="42"/>
      <c r="H42" s="114" cm="1">
        <f t="array" ref="H42">SUMPRODUCT(Tracking[Amount],-- (Tracking[Date]&lt;=Tracking[[#This Row],[Date]]), (Tracking[Type]&lt;&gt;"Income")*(-1)+(Tracking[Type]="Income"))</f>
        <v>2000</v>
      </c>
      <c r="I42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44608</v>
      </c>
    </row>
    <row r="43" spans="3:9" hidden="1" x14ac:dyDescent="0.3">
      <c r="C43" s="112">
        <v>44609</v>
      </c>
      <c r="D43" s="40" t="s">
        <v>12</v>
      </c>
      <c r="E43" s="40" t="s">
        <v>25</v>
      </c>
      <c r="F43" s="113">
        <v>250</v>
      </c>
      <c r="G43" s="42"/>
      <c r="H43" s="114" cm="1">
        <f t="array" ref="H43">SUMPRODUCT(Tracking[Amount],-- (Tracking[Date]&lt;=Tracking[[#This Row],[Date]]), (Tracking[Type]&lt;&gt;"Income")*(-1)+(Tracking[Type]="Income"))</f>
        <v>1750</v>
      </c>
      <c r="I43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44609</v>
      </c>
    </row>
    <row r="44" spans="3:9" hidden="1" x14ac:dyDescent="0.3">
      <c r="C44" s="112">
        <v>44611</v>
      </c>
      <c r="D44" s="40" t="s">
        <v>12</v>
      </c>
      <c r="E44" s="40" t="s">
        <v>26</v>
      </c>
      <c r="F44" s="113">
        <v>500</v>
      </c>
      <c r="G44" s="42"/>
      <c r="H44" s="114" cm="1">
        <f t="array" ref="H44">SUMPRODUCT(Tracking[Amount],-- (Tracking[Date]&lt;=Tracking[[#This Row],[Date]]), (Tracking[Type]&lt;&gt;"Income")*(-1)+(Tracking[Type]="Income"))</f>
        <v>1250</v>
      </c>
      <c r="I44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44611</v>
      </c>
    </row>
    <row r="45" spans="3:9" hidden="1" x14ac:dyDescent="0.3">
      <c r="C45" s="112">
        <v>44614</v>
      </c>
      <c r="D45" s="40" t="s">
        <v>12</v>
      </c>
      <c r="E45" s="40" t="s">
        <v>13</v>
      </c>
      <c r="F45" s="113">
        <v>600</v>
      </c>
      <c r="G45" s="42"/>
      <c r="H45" s="114" cm="1">
        <f t="array" ref="H45">SUMPRODUCT(Tracking[Amount],-- (Tracking[Date]&lt;=Tracking[[#This Row],[Date]]), (Tracking[Type]&lt;&gt;"Income")*(-1)+(Tracking[Type]="Income"))</f>
        <v>650</v>
      </c>
      <c r="I45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44614</v>
      </c>
    </row>
    <row r="46" spans="3:9" x14ac:dyDescent="0.3">
      <c r="C46" s="72">
        <v>44617</v>
      </c>
      <c r="D46" s="40" t="s">
        <v>6</v>
      </c>
      <c r="E46" s="40" t="s">
        <v>11</v>
      </c>
      <c r="F46" s="41">
        <v>50</v>
      </c>
      <c r="G46" s="42"/>
      <c r="H46" s="43" cm="1">
        <f t="array" ref="H46">SUMPRODUCT(Tracking[Amount],-- (Tracking[Date]&lt;=Tracking[[#This Row],[Date]]), (Tracking[Type]&lt;&gt;"Income")*(-1)+(Tracking[Type]="Income"))</f>
        <v>700</v>
      </c>
      <c r="I46" s="52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44621</v>
      </c>
    </row>
    <row r="47" spans="3:9" hidden="1" x14ac:dyDescent="0.3">
      <c r="C47" s="119">
        <v>44618</v>
      </c>
      <c r="D47" s="120" t="s">
        <v>12</v>
      </c>
      <c r="E47" s="120" t="s">
        <v>15</v>
      </c>
      <c r="F47" s="121">
        <v>100</v>
      </c>
      <c r="G47" s="122"/>
      <c r="H47" s="123" cm="1">
        <f t="array" ref="H47">SUMPRODUCT(Tracking[Amount],-- (Tracking[Date]&lt;=Tracking[[#This Row],[Date]]), (Tracking[Type]&lt;&gt;"Income")*(-1)+(Tracking[Type]="Income"))</f>
        <v>600</v>
      </c>
      <c r="I47" s="124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44618</v>
      </c>
    </row>
    <row r="48" spans="3:9" hidden="1" x14ac:dyDescent="0.3">
      <c r="C48" s="112">
        <v>44619</v>
      </c>
      <c r="D48" s="40" t="s">
        <v>16</v>
      </c>
      <c r="E48" s="40" t="s">
        <v>29</v>
      </c>
      <c r="F48" s="113">
        <v>200</v>
      </c>
      <c r="G48" s="42"/>
      <c r="H48" s="114" cm="1">
        <f t="array" ref="H48">SUMPRODUCT(Tracking[Amount],-- (Tracking[Date]&lt;=Tracking[[#This Row],[Date]]), (Tracking[Type]&lt;&gt;"Income")*(-1)+(Tracking[Type]="Income"))</f>
        <v>400</v>
      </c>
      <c r="I48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44619</v>
      </c>
    </row>
    <row r="49" spans="3:9" hidden="1" x14ac:dyDescent="0.3">
      <c r="C49" s="112">
        <v>44620</v>
      </c>
      <c r="D49" s="40" t="s">
        <v>16</v>
      </c>
      <c r="E49" s="40" t="s">
        <v>18</v>
      </c>
      <c r="F49" s="113">
        <v>350</v>
      </c>
      <c r="G49" s="42"/>
      <c r="H49" s="114" cm="1">
        <f t="array" ref="H49">SUMPRODUCT(Tracking[Amount],-- (Tracking[Date]&lt;=Tracking[[#This Row],[Date]]), (Tracking[Type]&lt;&gt;"Income")*(-1)+(Tracking[Type]="Income"))</f>
        <v>0</v>
      </c>
      <c r="I49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44620</v>
      </c>
    </row>
    <row r="50" spans="3:9" hidden="1" x14ac:dyDescent="0.3">
      <c r="C50" s="112">
        <v>44620</v>
      </c>
      <c r="D50" s="40" t="s">
        <v>16</v>
      </c>
      <c r="E50" s="40" t="s">
        <v>30</v>
      </c>
      <c r="F50" s="113">
        <v>50</v>
      </c>
      <c r="G50" s="42"/>
      <c r="H50" s="114" cm="1">
        <f t="array" ref="H50">SUMPRODUCT(Tracking[Amount],-- (Tracking[Date]&lt;=Tracking[[#This Row],[Date]]), (Tracking[Type]&lt;&gt;"Income")*(-1)+(Tracking[Type]="Income"))</f>
        <v>0</v>
      </c>
      <c r="I50" s="115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44620</v>
      </c>
    </row>
    <row r="51" spans="3:9" x14ac:dyDescent="0.3">
      <c r="C51" s="72">
        <v>44621</v>
      </c>
      <c r="D51" s="40" t="s">
        <v>6</v>
      </c>
      <c r="E51" s="40" t="s">
        <v>9</v>
      </c>
      <c r="F51" s="41">
        <v>1000</v>
      </c>
      <c r="G51" s="42"/>
      <c r="H51" s="43" cm="1">
        <f t="array" ref="H51">SUMPRODUCT(Tracking[Amount],-- (Tracking[Date]&lt;=Tracking[[#This Row],[Date]]), (Tracking[Type]&lt;&gt;"Income")*(-1)+(Tracking[Type]="Income"))</f>
        <v>1000</v>
      </c>
      <c r="I51" s="52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44621</v>
      </c>
    </row>
    <row r="52" spans="3:9" x14ac:dyDescent="0.3">
      <c r="C52" s="72">
        <v>44625</v>
      </c>
      <c r="D52" s="40" t="s">
        <v>12</v>
      </c>
      <c r="E52" s="40" t="s">
        <v>15</v>
      </c>
      <c r="F52" s="41">
        <v>200</v>
      </c>
      <c r="G52" s="42"/>
      <c r="H52" s="43" cm="1">
        <f t="array" ref="H52">SUMPRODUCT(Tracking[Amount],-- (Tracking[Date]&lt;=Tracking[[#This Row],[Date]]), (Tracking[Type]&lt;&gt;"Income")*(-1)+(Tracking[Type]="Income"))</f>
        <v>800</v>
      </c>
      <c r="I52" s="52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44625</v>
      </c>
    </row>
    <row r="53" spans="3:9" x14ac:dyDescent="0.3">
      <c r="C53" s="72">
        <v>44626</v>
      </c>
      <c r="D53" s="40" t="s">
        <v>12</v>
      </c>
      <c r="E53" s="40" t="s">
        <v>23</v>
      </c>
      <c r="F53" s="41">
        <v>100</v>
      </c>
      <c r="G53" s="42"/>
      <c r="H53" s="43" cm="1">
        <f t="array" ref="H53">SUMPRODUCT(Tracking[Amount],-- (Tracking[Date]&lt;=Tracking[[#This Row],[Date]]), (Tracking[Type]&lt;&gt;"Income")*(-1)+(Tracking[Type]="Income"))</f>
        <v>700</v>
      </c>
      <c r="I53" s="52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44626</v>
      </c>
    </row>
    <row r="54" spans="3:9" x14ac:dyDescent="0.3">
      <c r="C54" s="72">
        <v>44627</v>
      </c>
      <c r="D54" s="40" t="s">
        <v>12</v>
      </c>
      <c r="E54" s="40" t="s">
        <v>26</v>
      </c>
      <c r="F54" s="41">
        <v>70</v>
      </c>
      <c r="G54" s="42"/>
      <c r="H54" s="43" cm="1">
        <f t="array" ref="H54">SUMPRODUCT(Tracking[Amount],-- (Tracking[Date]&lt;=Tracking[[#This Row],[Date]]), (Tracking[Type]&lt;&gt;"Income")*(-1)+(Tracking[Type]="Income"))</f>
        <v>630</v>
      </c>
      <c r="I54" s="52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44627</v>
      </c>
    </row>
    <row r="55" spans="3:9" x14ac:dyDescent="0.3">
      <c r="C55" s="72">
        <v>44630</v>
      </c>
      <c r="D55" s="40" t="s">
        <v>16</v>
      </c>
      <c r="E55" s="40" t="s">
        <v>30</v>
      </c>
      <c r="F55" s="41">
        <v>200</v>
      </c>
      <c r="G55" s="42"/>
      <c r="H55" s="43" cm="1">
        <f t="array" ref="H55">SUMPRODUCT(Tracking[Amount],-- (Tracking[Date]&lt;=Tracking[[#This Row],[Date]]), (Tracking[Type]&lt;&gt;"Income")*(-1)+(Tracking[Type]="Income"))</f>
        <v>430</v>
      </c>
      <c r="I55" s="52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44630</v>
      </c>
    </row>
    <row r="56" spans="3:9" x14ac:dyDescent="0.3">
      <c r="C56" s="72">
        <v>44635</v>
      </c>
      <c r="D56" s="40" t="s">
        <v>16</v>
      </c>
      <c r="E56" s="40" t="s">
        <v>19</v>
      </c>
      <c r="F56" s="41">
        <v>300</v>
      </c>
      <c r="G56" s="42"/>
      <c r="H56" s="43" cm="1">
        <f t="array" ref="H56">SUMPRODUCT(Tracking[Amount],-- (Tracking[Date]&lt;=Tracking[[#This Row],[Date]]), (Tracking[Type]&lt;&gt;"Income")*(-1)+(Tracking[Type]="Income"))</f>
        <v>130</v>
      </c>
      <c r="I56" s="52">
        <f>IF(AND(Tracking[[#This Row],[Type]] = "Income", shift_late_income_status="Active", DAY(Tracking[[#This Row],[Date]])&gt;=shift_late_income_starting_day), DATE(YEAR(Tracking[[#This Row],[Date]]), MONTH(Tracking[[#This Row],[Date]])+1,1),Tracking[[#This Row],[Date]])</f>
        <v>44635</v>
      </c>
    </row>
    <row r="57" spans="3:9" hidden="1" x14ac:dyDescent="0.3">
      <c r="C57" s="72"/>
      <c r="D57" s="40"/>
      <c r="E57" s="40"/>
      <c r="F57" s="41"/>
      <c r="G57" s="42"/>
      <c r="H57" s="43"/>
      <c r="I57" s="52"/>
    </row>
  </sheetData>
  <conditionalFormatting sqref="E12:E57">
    <cfRule type="expression" dxfId="27" priority="11">
      <formula>ISNA(MATCH(E12, INDIRECT(D12),0))</formula>
    </cfRule>
  </conditionalFormatting>
  <conditionalFormatting sqref="F12:F57">
    <cfRule type="expression" dxfId="26" priority="10">
      <formula>D12="Income"</formula>
    </cfRule>
  </conditionalFormatting>
  <conditionalFormatting sqref="I12:I57">
    <cfRule type="expression" dxfId="25" priority="1">
      <formula>AND(D12="Income", shift_late_income_status="Active",DAY(C12)&gt;=shift_late_income_starting_day)</formula>
    </cfRule>
  </conditionalFormatting>
  <dataValidations count="4">
    <dataValidation type="date" operator="greaterThan" allowBlank="1" showInputMessage="1" showErrorMessage="1" sqref="C12:C57" xr:uid="{FFAF342E-0556-4895-8515-803265CED9AF}">
      <formula1>32874</formula1>
    </dataValidation>
    <dataValidation type="list" allowBlank="1" showInputMessage="1" showErrorMessage="1" errorTitle="Invalid" error="Please select the valid option from Drop-Down list?" sqref="D12:D57" xr:uid="{A6AFC334-89C4-4FDF-8C29-0F2409BA1AB2}">
      <formula1>"Income, Expenses, Savings"</formula1>
    </dataValidation>
    <dataValidation type="list" allowBlank="1" showInputMessage="1" showErrorMessage="1" errorTitle="Invalid Category" error="Please select the valid options from drop-down list?" sqref="E12:E57" xr:uid="{B708E42E-E85A-4FDB-B81D-2CC3217C8445}">
      <formula1>INDIRECT(D12)</formula1>
    </dataValidation>
    <dataValidation type="custom" allowBlank="1" showInputMessage="1" showErrorMessage="1" errorTitle="Invalid Amount" error="please enter a valid number?" sqref="F12:F57" xr:uid="{07C2D173-5657-41E1-915C-6F83B845365B}">
      <formula1>ISNUMBER(F12)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8F64-9C43-410E-92B8-DA0EB27C3726}">
  <sheetPr codeName="Sheet5"/>
  <dimension ref="B1:AU48"/>
  <sheetViews>
    <sheetView showGridLines="0" tabSelected="1" topLeftCell="A2" zoomScale="90" zoomScaleNormal="90" workbookViewId="0">
      <selection activeCell="AL6" sqref="AL6:AM6"/>
    </sheetView>
  </sheetViews>
  <sheetFormatPr defaultRowHeight="14.4" x14ac:dyDescent="0.3"/>
  <cols>
    <col min="2" max="2" width="8.88671875" customWidth="1"/>
    <col min="3" max="3" width="10" hidden="1" customWidth="1"/>
    <col min="4" max="4" width="14.5546875" hidden="1" customWidth="1"/>
    <col min="5" max="5" width="12" hidden="1" customWidth="1"/>
    <col min="6" max="6" width="8.88671875" hidden="1" customWidth="1"/>
    <col min="7" max="7" width="11.109375" hidden="1" customWidth="1"/>
    <col min="8" max="8" width="11.5546875" hidden="1" customWidth="1"/>
    <col min="9" max="9" width="11.77734375" hidden="1" customWidth="1"/>
    <col min="10" max="10" width="27.21875" hidden="1" customWidth="1"/>
    <col min="11" max="11" width="16.44140625" hidden="1" customWidth="1"/>
    <col min="12" max="12" width="11.109375" hidden="1" customWidth="1"/>
    <col min="13" max="13" width="15.44140625" hidden="1" customWidth="1"/>
    <col min="14" max="14" width="14" hidden="1" customWidth="1"/>
    <col min="15" max="15" width="12.77734375" hidden="1" customWidth="1"/>
    <col min="16" max="16" width="11.21875" hidden="1" customWidth="1"/>
    <col min="17" max="17" width="12.77734375" hidden="1" customWidth="1"/>
    <col min="18" max="18" width="13.109375" hidden="1" customWidth="1"/>
    <col min="19" max="19" width="11.77734375" hidden="1" customWidth="1"/>
    <col min="20" max="20" width="15.5546875" hidden="1" customWidth="1"/>
    <col min="21" max="21" width="16.33203125" hidden="1" customWidth="1"/>
    <col min="22" max="22" width="25.21875" hidden="1" customWidth="1"/>
    <col min="23" max="23" width="16" hidden="1" customWidth="1"/>
    <col min="24" max="24" width="21.109375" hidden="1" customWidth="1"/>
    <col min="25" max="25" width="19.109375" customWidth="1"/>
    <col min="26" max="26" width="8.88671875" customWidth="1"/>
    <col min="27" max="27" width="10.21875" customWidth="1"/>
    <col min="28" max="28" width="9.21875" customWidth="1"/>
    <col min="29" max="29" width="11.33203125" customWidth="1"/>
    <col min="30" max="30" width="8.88671875" customWidth="1"/>
    <col min="31" max="31" width="4.44140625" customWidth="1"/>
    <col min="32" max="33" width="14.77734375" customWidth="1"/>
    <col min="34" max="34" width="2.109375" customWidth="1"/>
    <col min="35" max="35" width="17.44140625" customWidth="1"/>
    <col min="36" max="36" width="8.6640625" customWidth="1"/>
    <col min="37" max="37" width="7" customWidth="1"/>
    <col min="38" max="38" width="1.88671875" customWidth="1"/>
    <col min="39" max="40" width="14.77734375" customWidth="1"/>
    <col min="41" max="41" width="2.109375" customWidth="1"/>
    <col min="42" max="42" width="17.109375" customWidth="1"/>
    <col min="43" max="43" width="7.6640625" customWidth="1"/>
    <col min="44" max="44" width="7" customWidth="1"/>
    <col min="46" max="46" width="11.88671875" bestFit="1" customWidth="1"/>
  </cols>
  <sheetData>
    <row r="1" spans="2:47" ht="15" thickBot="1" x14ac:dyDescent="0.35"/>
    <row r="2" spans="2:47" ht="15.6" customHeight="1" x14ac:dyDescent="0.3">
      <c r="B2" s="161" t="s">
        <v>54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3"/>
    </row>
    <row r="3" spans="2:47" ht="14.4" customHeight="1" thickBot="1" x14ac:dyDescent="0.45">
      <c r="B3" s="164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6"/>
      <c r="AT3" s="86"/>
      <c r="AU3" s="87"/>
    </row>
    <row r="4" spans="2:47" ht="15" thickBot="1" x14ac:dyDescent="0.35"/>
    <row r="5" spans="2:47" ht="14.4" customHeight="1" x14ac:dyDescent="0.3">
      <c r="AL5" s="169" t="s">
        <v>55</v>
      </c>
      <c r="AM5" s="170"/>
      <c r="AQ5" s="169" t="s">
        <v>56</v>
      </c>
      <c r="AR5" s="170"/>
    </row>
    <row r="6" spans="2:47" ht="15" thickBot="1" x14ac:dyDescent="0.35">
      <c r="AJ6" s="75" t="s">
        <v>108</v>
      </c>
      <c r="AK6" s="76"/>
      <c r="AL6" s="171">
        <v>2022</v>
      </c>
      <c r="AM6" s="172"/>
      <c r="AO6" s="75" t="s">
        <v>109</v>
      </c>
      <c r="AP6" s="75"/>
      <c r="AQ6" s="173" t="s">
        <v>61</v>
      </c>
      <c r="AR6" s="174"/>
    </row>
    <row r="8" spans="2:47" ht="14.4" customHeight="1" x14ac:dyDescent="0.3"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167" t="str">
        <f>"Breakdown-"&amp; IF(Selected_period="Total Year",Selected_Year&amp;"(Total Year)",selected_period_display&amp;""&amp; Selected_Year)</f>
        <v>Breakdown-2022(Total Year)</v>
      </c>
      <c r="Z8" s="168"/>
      <c r="AA8" s="168"/>
      <c r="AB8" s="168"/>
      <c r="AC8" s="168"/>
      <c r="AD8" s="168"/>
      <c r="AF8" s="167" t="str">
        <f>"Summary-"&amp; IF(Selected_period="Total Year",Selected_Year&amp;"(Total Year)",selected_period_display&amp;""&amp; Selected_Year)</f>
        <v>Summary-2022(Total Year)</v>
      </c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</row>
    <row r="9" spans="2:47" ht="15" thickBot="1" x14ac:dyDescent="0.35">
      <c r="C9" s="88" t="s">
        <v>67</v>
      </c>
      <c r="D9" s="89" t="s">
        <v>68</v>
      </c>
      <c r="E9" s="88" t="s">
        <v>69</v>
      </c>
      <c r="F9" s="90" t="s">
        <v>70</v>
      </c>
      <c r="G9" s="90" t="s">
        <v>71</v>
      </c>
      <c r="H9" s="89" t="s">
        <v>72</v>
      </c>
      <c r="I9" s="88" t="s">
        <v>73</v>
      </c>
      <c r="J9" s="90" t="s">
        <v>74</v>
      </c>
      <c r="K9" s="90" t="s">
        <v>75</v>
      </c>
      <c r="L9" s="89" t="s">
        <v>76</v>
      </c>
      <c r="M9" s="99" t="s">
        <v>78</v>
      </c>
      <c r="N9" s="100" t="s">
        <v>79</v>
      </c>
      <c r="O9" s="99" t="s">
        <v>80</v>
      </c>
      <c r="P9" s="103" t="s">
        <v>81</v>
      </c>
      <c r="Q9" s="103" t="s">
        <v>82</v>
      </c>
      <c r="R9" s="100" t="s">
        <v>83</v>
      </c>
      <c r="S9" s="99" t="s">
        <v>84</v>
      </c>
      <c r="T9" s="103" t="s">
        <v>85</v>
      </c>
      <c r="U9" s="103" t="s">
        <v>86</v>
      </c>
      <c r="V9" s="103" t="s">
        <v>87</v>
      </c>
      <c r="W9" s="100" t="s">
        <v>88</v>
      </c>
      <c r="X9" s="101" t="s">
        <v>89</v>
      </c>
    </row>
    <row r="10" spans="2:47" x14ac:dyDescent="0.3">
      <c r="C10" s="5">
        <v>9</v>
      </c>
      <c r="D10" s="6">
        <f t="shared" ref="D10:D47" si="0">IF(is_header,row_id,
                IF(NOT(is_empty),D9,-1))</f>
        <v>9</v>
      </c>
      <c r="E10" s="5" cm="1">
        <f t="array" ref="E10">1*OR(row_id=income_header_row,row_id=expenses_header_row,row_id=Savings_header_row)</f>
        <v>1</v>
      </c>
      <c r="F10">
        <f t="shared" ref="F10:F47" si="1">1*NOT(OR(is_header,is_total,is_empty))</f>
        <v>0</v>
      </c>
      <c r="G10" cm="1">
        <f t="array" ref="G10">1*OR(row_id=income_total_row,row_id=expenses_total_row,row_id=savings_total_row)</f>
        <v>0</v>
      </c>
      <c r="H10" s="6">
        <f t="shared" ref="H10:H47" si="2">1*OR(row_id="/1",row_id="/2",row_id=-1)</f>
        <v>0</v>
      </c>
      <c r="I10" s="5" t="str" cm="1">
        <f t="array" ref="I10">IFERROR(INDEX(Budget_Planning!$C:$C,header_row_id), " ")</f>
        <v>Income</v>
      </c>
      <c r="J10" t="str" cm="1">
        <f t="array" ref="J10">IFERROR(INDEX(Budget_Planning!$C:$C,row_id), " ")</f>
        <v>Income</v>
      </c>
      <c r="K10" s="97" t="str" cm="1">
        <f t="array" ref="K10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10" s="98" t="str" cm="1">
        <f t="array" ref="L10">IF(OR(is_header,is_empty),"",
                INDEX(Budget_Planning!$E:$DY,row_id,
                       MATCH(IF(Selected_period="Total Year",Selected_Year,DATE(Selected_Year,Selected_period,1)), Budget_Planning!$E$9:$DY$9, 0)))</f>
        <v/>
      </c>
      <c r="M10" s="5"/>
      <c r="N10" s="6" t="str" cm="1">
        <f t="array" ref="N10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10" s="5" t="str">
        <f t="shared" ref="O10:O47" si="3">IF(is_cat,ADDRESS(sort_min_row,COLUMN(tracked)) &amp;":" &amp; ADDRESS(sort_max_row,COLUMN(tracked)), "")</f>
        <v/>
      </c>
      <c r="P10" t="str">
        <f t="shared" ref="P10:P47" ca="1" si="4">IF(is_cat,RANK(tracked,INDIRECT(tracked_range),0), "")</f>
        <v/>
      </c>
      <c r="Q10" t="str">
        <f t="shared" ref="Q10:Q47" si="5">IF(is_cat,ADDRESS(sort_min_row,COLUMN(budget)) &amp; ":" &amp;ADDRESS(sort_max_row,COLUMN(budget)), "")</f>
        <v/>
      </c>
      <c r="R10" s="6" t="str">
        <f t="shared" ref="R10:R47" ca="1" si="6">IF(is_cat,RANK(budget,INDIRECT(budget_range),0),"")</f>
        <v/>
      </c>
      <c r="S10" s="5" t="str">
        <f t="shared" ref="S10:S47" si="7">IF(is_cat,_xlfn.NUMBERVALUE(tracked_rank&amp; budget_rank),"")</f>
        <v/>
      </c>
      <c r="U10" t="str">
        <f t="shared" ref="U10:U47" ca="1" si="8">IF(is_cat,RANK(comb_rank,INDIRECT(comb_rank_range),1),"")</f>
        <v/>
      </c>
      <c r="V10" t="str">
        <f t="shared" ref="V10:V47" si="9">IF(is_cat,ADDRESS(sort_min_row,COLUMN(comb_rank_norm)) &amp; ":" &amp;ADDRESS(ROW(),COLUMN(comb_rank_norm)), "")</f>
        <v/>
      </c>
      <c r="W10" s="6" t="str">
        <f t="shared" ref="W10:W47" ca="1" si="10">IF(is_cat,comb_rank_norm+ COUNTIF(INDIRECT(comb_rank_norm_run_range),comb_rank_norm)-1,"")</f>
        <v/>
      </c>
      <c r="X10" s="102">
        <f t="shared" ref="X10:X47" si="11">IF(is_cat,header_row_id+comb_rank_unique,row_id)</f>
        <v>9</v>
      </c>
      <c r="Y10" s="105" t="str">
        <f t="shared" ref="Y10:Y47" si="12">IF(is_empty,"",INDEX($J:$J,MATCH(row_id,$X:$X,0)))</f>
        <v>Income</v>
      </c>
      <c r="Z10" s="107" t="str">
        <f t="shared" ref="Z10:Z47" si="13">IF(is_empty,"",IF(is_header,"Tracked",INDEX($K:$K, MATCH(row_id,$X:$X,0))))</f>
        <v>Tracked</v>
      </c>
      <c r="AA10" s="107" t="str">
        <f t="shared" ref="AA10:AA47" si="14">IF(is_empty,"",IF(is_header,"Budget",INDEX($L:$L, MATCH(row_id,$X:$X,0))))</f>
        <v>Budget</v>
      </c>
      <c r="AB10" s="106" t="str">
        <f t="shared" ref="AB10:AB47" si="15">IF(is_empty,"",IF(is_header,"%Compl.",IFERROR(out_tracked/out_budget,"-")))</f>
        <v>%Compl.</v>
      </c>
      <c r="AC10" s="107" t="str">
        <f>IF(is_empty,"",IF(is_header,"Remaining",IF(out_budget-out_tracked &gt; 0, out_budget-out_tracked,0)))</f>
        <v>Remaining</v>
      </c>
      <c r="AD10" s="107" t="str">
        <f t="shared" ref="AD10:AD47" si="16">IF(is_empty,"",IF(is_header,"Excess",IF(out_budget-out_tracked &lt; 0, out_tracked-out_budget,0)))</f>
        <v>Excess</v>
      </c>
      <c r="AF10" s="141"/>
      <c r="AG10" s="142"/>
      <c r="AH10" s="142"/>
      <c r="AI10" s="142"/>
      <c r="AJ10" s="142"/>
      <c r="AK10" s="143"/>
      <c r="AM10" s="141"/>
      <c r="AN10" s="142"/>
      <c r="AO10" s="142"/>
      <c r="AP10" s="142"/>
      <c r="AQ10" s="142"/>
      <c r="AR10" s="143"/>
    </row>
    <row r="11" spans="2:47" x14ac:dyDescent="0.3">
      <c r="C11" s="5" cm="1">
        <f t="array" ref="C11">IF(C10=-1,-1,
         IF(C10&lt;income_max_row,C10+1,
           IF(C10=income_max_row,income_total_row,
                  IF(C10=income_total_row, "/1",
                          IF(C10="/1",expenses_header_row,
                                  IF(C10&lt;expenses_max_row, C10+1,
                                                   IF(C10=expenses_max_row,expenses_total_row,
                                                            IF(C10=expenses_total_row,"/2",
                                                                          IF(C10="/2",Savings_header_row,
                                                                                  IF(C10&lt;savings_max_row,C10+1,
                                                                                           IF(C10=savings_max_row,savings_total_row,
                                                                                                      -1)))))))))))</f>
        <v>10</v>
      </c>
      <c r="D11" s="6">
        <f t="shared" si="0"/>
        <v>9</v>
      </c>
      <c r="E11" s="5" cm="1">
        <f t="array" ref="E11">1*OR(row_id=income_header_row,row_id=expenses_header_row,row_id=Savings_header_row)</f>
        <v>0</v>
      </c>
      <c r="F11">
        <f t="shared" si="1"/>
        <v>1</v>
      </c>
      <c r="G11" cm="1">
        <f t="array" ref="G11">1*OR(row_id=income_total_row,row_id=expenses_total_row,row_id=savings_total_row)</f>
        <v>0</v>
      </c>
      <c r="H11" s="6">
        <f t="shared" si="2"/>
        <v>0</v>
      </c>
      <c r="I11" s="5" t="str" cm="1">
        <f t="array" ref="I11">IFERROR(INDEX(Budget_Planning!$C:$C,header_row_id), " ")</f>
        <v>Income</v>
      </c>
      <c r="J11" t="str" cm="1">
        <f t="array" ref="J11">IFERROR(INDEX(Budget_Planning!$C:$C,row_id), " ")</f>
        <v>Employment(Net)</v>
      </c>
      <c r="K11" s="97" cm="1">
        <f t="array" ref="K11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6500</v>
      </c>
      <c r="L11" s="98" cm="1">
        <f t="array" ref="L11">IF(OR(is_header,is_empty),"",
                INDEX(Budget_Planning!$E:$DY,row_id,
                       MATCH(IF(Selected_period="Total Year",Selected_Year,DATE(Selected_Year,Selected_period,1)), Budget_Planning!$E$9:$DY$9, 0)))</f>
        <v>51000</v>
      </c>
      <c r="M11" s="5" cm="1">
        <f t="array" ref="M11">IF(is_cat,
        IF(header_row_id=income_header_row, MATCH(income_min_row,$C:$C,0),
           IF(header_row_id=expenses_header_row,MATCH(expenses_min_row,$C:$C,0),
             IF(header_row_id=Savings_header_row,MATCH(savings_min_row,$C:$C,0),""))), "")</f>
        <v>11</v>
      </c>
      <c r="N11" s="6" cm="1">
        <f t="array" ref="N11">IF(is_cat,
        IF(header_row_id=income_header_row, MATCH(income_max_row,$C:$C,0),
           IF(header_row_id=expenses_header_row,MATCH(expenses_max_row,$C:$C,0),
             IF(header_row_id=Savings_header_row,MATCH(savings_max_row,$C:$C,0),""))), "")</f>
        <v>13</v>
      </c>
      <c r="O11" s="5" t="str">
        <f t="shared" si="3"/>
        <v>$K$11:$K$13</v>
      </c>
      <c r="P11">
        <f t="shared" ca="1" si="4"/>
        <v>1</v>
      </c>
      <c r="Q11" t="str">
        <f t="shared" si="5"/>
        <v>$L$11:$L$13</v>
      </c>
      <c r="R11" s="6">
        <f t="shared" ca="1" si="6"/>
        <v>1</v>
      </c>
      <c r="S11" s="5">
        <f t="shared" ca="1" si="7"/>
        <v>11</v>
      </c>
      <c r="T11" t="str">
        <f t="shared" ref="T11:T47" si="17">IF(is_cat,ADDRESS(sort_min_row,COLUMN(comb_rank)) &amp; ":" &amp;ADDRESS(sort_max_row,COLUMN(comb_rank)), "")</f>
        <v>$S$11:$S$13</v>
      </c>
      <c r="U11">
        <f t="shared" ca="1" si="8"/>
        <v>1</v>
      </c>
      <c r="V11" t="str">
        <f t="shared" si="9"/>
        <v>$U$11:$U$11</v>
      </c>
      <c r="W11" s="6">
        <f t="shared" ca="1" si="10"/>
        <v>1</v>
      </c>
      <c r="X11" s="102">
        <f t="shared" ca="1" si="11"/>
        <v>10</v>
      </c>
      <c r="Y11" s="105" t="str">
        <f t="shared" ca="1" si="12"/>
        <v>Employment(Net)</v>
      </c>
      <c r="Z11" s="107">
        <f t="shared" ca="1" si="13"/>
        <v>6500</v>
      </c>
      <c r="AA11" s="107">
        <f t="shared" ca="1" si="14"/>
        <v>51000</v>
      </c>
      <c r="AB11" s="106">
        <f t="shared" ca="1" si="15"/>
        <v>0.12745098039215685</v>
      </c>
      <c r="AC11" s="107">
        <f t="shared" ref="AC11:AC47" ca="1" si="18">IF(is_empty,"",IF(is_header,"Remaining",IF(out_budget-out_tracked &gt; 0, out_budget-out_tracked,0)))</f>
        <v>44500</v>
      </c>
      <c r="AD11" s="107">
        <f t="shared" ca="1" si="16"/>
        <v>0</v>
      </c>
      <c r="AF11" s="144"/>
      <c r="AK11" s="145"/>
      <c r="AM11" s="144"/>
      <c r="AR11" s="145"/>
    </row>
    <row r="12" spans="2:47" x14ac:dyDescent="0.3">
      <c r="C12" s="5" cm="1">
        <f t="array" ref="C12">IF(C11=-1,-1,
         IF(C11&lt;income_max_row,C11+1,
           IF(C11=income_max_row,income_total_row,
                  IF(C11=income_total_row, "/1",
                          IF(C11="/1",expenses_header_row,
                                  IF(C11&lt;expenses_max_row, C11+1,
                                                   IF(C11=expenses_max_row,expenses_total_row,
                                                            IF(C11=expenses_total_row,"/2",
                                                                          IF(C11="/2",Savings_header_row,
                                                                                  IF(C11&lt;savings_max_row,C11+1,
                                                                                           IF(C11=savings_max_row,savings_total_row,
                                                                                                      -1)))))))))))</f>
        <v>11</v>
      </c>
      <c r="D12" s="6">
        <f t="shared" si="0"/>
        <v>9</v>
      </c>
      <c r="E12" s="5" cm="1">
        <f t="array" ref="E12">1*OR(row_id=income_header_row,row_id=expenses_header_row,row_id=Savings_header_row)</f>
        <v>0</v>
      </c>
      <c r="F12">
        <f t="shared" si="1"/>
        <v>1</v>
      </c>
      <c r="G12" cm="1">
        <f t="array" ref="G12">1*OR(row_id=income_total_row,row_id=expenses_total_row,row_id=savings_total_row)</f>
        <v>0</v>
      </c>
      <c r="H12" s="6">
        <f t="shared" si="2"/>
        <v>0</v>
      </c>
      <c r="I12" s="5" t="str" cm="1">
        <f t="array" ref="I12">IFERROR(INDEX(Budget_Planning!$C:$C,header_row_id), " ")</f>
        <v>Income</v>
      </c>
      <c r="J12" t="str" cm="1">
        <f t="array" ref="J12">IFERROR(INDEX(Budget_Planning!$C:$C,row_id), " ")</f>
        <v>Side Hustles(net)</v>
      </c>
      <c r="K12" s="97" cm="1">
        <f t="array" ref="K12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4500</v>
      </c>
      <c r="L12" s="98" cm="1">
        <f t="array" ref="L12">IF(OR(is_header,is_empty),"",
                INDEX(Budget_Planning!$E:$DY,row_id,
                       MATCH(IF(Selected_period="Total Year",Selected_Year,DATE(Selected_Year,Selected_period,1)), Budget_Planning!$E$9:$DY$9, 0)))</f>
        <v>12000</v>
      </c>
      <c r="M12" s="5" cm="1">
        <f t="array" ref="M12">IF(is_cat,
        IF(header_row_id=income_header_row, MATCH(income_min_row,$C:$C,0),
           IF(header_row_id=expenses_header_row,MATCH(expenses_min_row,$C:$C,0),
             IF(header_row_id=Savings_header_row,MATCH(savings_min_row,$C:$C,0),""))), "")</f>
        <v>11</v>
      </c>
      <c r="N12" s="6" cm="1">
        <f t="array" ref="N12">IF(is_cat,
        IF(header_row_id=income_header_row, MATCH(income_max_row,$C:$C,0),
           IF(header_row_id=expenses_header_row,MATCH(expenses_max_row,$C:$C,0),
             IF(header_row_id=Savings_header_row,MATCH(savings_max_row,$C:$C,0),""))), "")</f>
        <v>13</v>
      </c>
      <c r="O12" s="5" t="str">
        <f t="shared" si="3"/>
        <v>$K$11:$K$13</v>
      </c>
      <c r="P12">
        <f t="shared" ca="1" si="4"/>
        <v>2</v>
      </c>
      <c r="Q12" t="str">
        <f t="shared" si="5"/>
        <v>$L$11:$L$13</v>
      </c>
      <c r="R12" s="6">
        <f t="shared" ca="1" si="6"/>
        <v>2</v>
      </c>
      <c r="S12" s="5">
        <f t="shared" ca="1" si="7"/>
        <v>22</v>
      </c>
      <c r="T12" t="str">
        <f t="shared" si="17"/>
        <v>$S$11:$S$13</v>
      </c>
      <c r="U12">
        <f t="shared" ca="1" si="8"/>
        <v>2</v>
      </c>
      <c r="V12" t="str">
        <f t="shared" si="9"/>
        <v>$U$11:$U$12</v>
      </c>
      <c r="W12" s="6">
        <f t="shared" ca="1" si="10"/>
        <v>2</v>
      </c>
      <c r="X12" s="102">
        <f t="shared" ca="1" si="11"/>
        <v>11</v>
      </c>
      <c r="Y12" s="105" t="str">
        <f t="shared" ca="1" si="12"/>
        <v>Side Hustles(net)</v>
      </c>
      <c r="Z12" s="107">
        <f t="shared" ca="1" si="13"/>
        <v>4500</v>
      </c>
      <c r="AA12" s="107">
        <f t="shared" ca="1" si="14"/>
        <v>12000</v>
      </c>
      <c r="AB12" s="106">
        <f t="shared" ca="1" si="15"/>
        <v>0.375</v>
      </c>
      <c r="AC12" s="107">
        <f t="shared" ca="1" si="18"/>
        <v>7500</v>
      </c>
      <c r="AD12" s="107">
        <f t="shared" ca="1" si="16"/>
        <v>0</v>
      </c>
      <c r="AF12" s="144"/>
      <c r="AI12" s="146" t="str">
        <f ca="1">Calculations!E35</f>
        <v>Employment(Net)</v>
      </c>
      <c r="AJ12" s="132">
        <f ca="1">Calculations!F35</f>
        <v>6500</v>
      </c>
      <c r="AK12" s="145"/>
      <c r="AM12" s="144"/>
      <c r="AR12" s="145"/>
    </row>
    <row r="13" spans="2:47" x14ac:dyDescent="0.3">
      <c r="C13" s="5" cm="1">
        <f t="array" ref="C13">IF(C12=-1,-1,
         IF(C12&lt;income_max_row,C12+1,
           IF(C12=income_max_row,income_total_row,
                  IF(C12=income_total_row, "/1",
                          IF(C12="/1",expenses_header_row,
                                  IF(C12&lt;expenses_max_row, C12+1,
                                                   IF(C12=expenses_max_row,expenses_total_row,
                                                            IF(C12=expenses_total_row,"/2",
                                                                          IF(C12="/2",Savings_header_row,
                                                                                  IF(C12&lt;savings_max_row,C12+1,
                                                                                           IF(C12=savings_max_row,savings_total_row,
                                                                                                      -1)))))))))))</f>
        <v>12</v>
      </c>
      <c r="D13" s="6">
        <f t="shared" si="0"/>
        <v>9</v>
      </c>
      <c r="E13" s="5" cm="1">
        <f t="array" ref="E13">1*OR(row_id=income_header_row,row_id=expenses_header_row,row_id=Savings_header_row)</f>
        <v>0</v>
      </c>
      <c r="F13">
        <f t="shared" si="1"/>
        <v>1</v>
      </c>
      <c r="G13" cm="1">
        <f t="array" ref="G13">1*OR(row_id=income_total_row,row_id=expenses_total_row,row_id=savings_total_row)</f>
        <v>0</v>
      </c>
      <c r="H13" s="6">
        <f t="shared" si="2"/>
        <v>0</v>
      </c>
      <c r="I13" s="5" t="str" cm="1">
        <f t="array" ref="I13">IFERROR(INDEX(Budget_Planning!$C:$C,header_row_id), " ")</f>
        <v>Income</v>
      </c>
      <c r="J13" t="str" cm="1">
        <f t="array" ref="J13">IFERROR(INDEX(Budget_Planning!$C:$C,row_id), " ")</f>
        <v>Dividends</v>
      </c>
      <c r="K13" s="97" cm="1">
        <f t="array" ref="K13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350</v>
      </c>
      <c r="L13" s="98" cm="1">
        <f t="array" ref="L13">IF(OR(is_header,is_empty),"",
                INDEX(Budget_Planning!$E:$DY,row_id,
                       MATCH(IF(Selected_period="Total Year",Selected_Year,DATE(Selected_Year,Selected_period,1)), Budget_Planning!$E$9:$DY$9, 0)))</f>
        <v>1200</v>
      </c>
      <c r="M13" s="5" cm="1">
        <f t="array" ref="M13">IF(is_cat,
        IF(header_row_id=income_header_row, MATCH(income_min_row,$C:$C,0),
           IF(header_row_id=expenses_header_row,MATCH(expenses_min_row,$C:$C,0),
             IF(header_row_id=Savings_header_row,MATCH(savings_min_row,$C:$C,0),""))), "")</f>
        <v>11</v>
      </c>
      <c r="N13" s="6" cm="1">
        <f t="array" ref="N13">IF(is_cat,
        IF(header_row_id=income_header_row, MATCH(income_max_row,$C:$C,0),
           IF(header_row_id=expenses_header_row,MATCH(expenses_max_row,$C:$C,0),
             IF(header_row_id=Savings_header_row,MATCH(savings_max_row,$C:$C,0),""))), "")</f>
        <v>13</v>
      </c>
      <c r="O13" s="5" t="str">
        <f t="shared" si="3"/>
        <v>$K$11:$K$13</v>
      </c>
      <c r="P13">
        <f t="shared" ca="1" si="4"/>
        <v>3</v>
      </c>
      <c r="Q13" t="str">
        <f t="shared" si="5"/>
        <v>$L$11:$L$13</v>
      </c>
      <c r="R13" s="6">
        <f t="shared" ca="1" si="6"/>
        <v>3</v>
      </c>
      <c r="S13" s="5">
        <f t="shared" ca="1" si="7"/>
        <v>33</v>
      </c>
      <c r="T13" t="str">
        <f t="shared" si="17"/>
        <v>$S$11:$S$13</v>
      </c>
      <c r="U13">
        <f t="shared" ca="1" si="8"/>
        <v>3</v>
      </c>
      <c r="V13" t="str">
        <f t="shared" si="9"/>
        <v>$U$11:$U$13</v>
      </c>
      <c r="W13" s="6">
        <f t="shared" ca="1" si="10"/>
        <v>3</v>
      </c>
      <c r="X13" s="102">
        <f t="shared" ca="1" si="11"/>
        <v>12</v>
      </c>
      <c r="Y13" s="105" t="str">
        <f t="shared" ca="1" si="12"/>
        <v>Dividends</v>
      </c>
      <c r="Z13" s="107">
        <f t="shared" ca="1" si="13"/>
        <v>350</v>
      </c>
      <c r="AA13" s="107">
        <f t="shared" ca="1" si="14"/>
        <v>1200</v>
      </c>
      <c r="AB13" s="106">
        <f t="shared" ca="1" si="15"/>
        <v>0.29166666666666669</v>
      </c>
      <c r="AC13" s="107">
        <f t="shared" ca="1" si="18"/>
        <v>850</v>
      </c>
      <c r="AD13" s="107">
        <f t="shared" ca="1" si="16"/>
        <v>0</v>
      </c>
      <c r="AF13" s="144"/>
      <c r="AI13" s="146" t="str">
        <f ca="1">Calculations!E36</f>
        <v>Side Hustles(net)</v>
      </c>
      <c r="AJ13" s="132">
        <f ca="1">Calculations!F36</f>
        <v>4500</v>
      </c>
      <c r="AK13" s="145"/>
      <c r="AM13" s="144"/>
      <c r="AR13" s="145"/>
    </row>
    <row r="14" spans="2:47" x14ac:dyDescent="0.3">
      <c r="C14" s="5" cm="1">
        <f t="array" ref="C14">IF(C13=-1,-1,
         IF(C13&lt;income_max_row,C13+1,
           IF(C13=income_max_row,income_total_row,
                  IF(C13=income_total_row, "/1",
                          IF(C13="/1",expenses_header_row,
                                  IF(C13&lt;expenses_max_row, C13+1,
                                                   IF(C13=expenses_max_row,expenses_total_row,
                                                            IF(C13=expenses_total_row,"/2",
                                                                          IF(C13="/2",Savings_header_row,
                                                                                  IF(C13&lt;savings_max_row,C13+1,
                                                                                           IF(C13=savings_max_row,savings_total_row,
                                                                                                      -1)))))))))))</f>
        <v>20</v>
      </c>
      <c r="D14" s="6">
        <f t="shared" si="0"/>
        <v>9</v>
      </c>
      <c r="E14" s="5" cm="1">
        <f t="array" ref="E14">1*OR(row_id=income_header_row,row_id=expenses_header_row,row_id=Savings_header_row)</f>
        <v>0</v>
      </c>
      <c r="F14">
        <f t="shared" si="1"/>
        <v>0</v>
      </c>
      <c r="G14" cm="1">
        <f t="array" ref="G14">1*OR(row_id=income_total_row,row_id=expenses_total_row,row_id=savings_total_row)</f>
        <v>1</v>
      </c>
      <c r="H14" s="6">
        <f t="shared" si="2"/>
        <v>0</v>
      </c>
      <c r="I14" s="5" t="str" cm="1">
        <f t="array" ref="I14">IFERROR(INDEX(Budget_Planning!$C:$C,header_row_id), " ")</f>
        <v>Income</v>
      </c>
      <c r="J14" t="str" cm="1">
        <f t="array" ref="J14">IFERROR(INDEX(Budget_Planning!$C:$C,row_id), " ")</f>
        <v>Total</v>
      </c>
      <c r="K14" s="97" cm="1">
        <f t="array" ref="K14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11350</v>
      </c>
      <c r="L14" s="98" cm="1">
        <f t="array" aca="1" ref="L14" ca="1">IF(OR(is_header,is_empty),"",
                INDEX(Budget_Planning!$E:$DY,row_id,
                       MATCH(IF(Selected_period="Total Year",Selected_Year,DATE(Selected_Year,Selected_period,1)), Budget_Planning!$E$9:$DY$9, 0)))</f>
        <v>64200</v>
      </c>
      <c r="M14" s="5" t="str" cm="1">
        <f t="array" ref="M14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14" s="6" t="str" cm="1">
        <f t="array" ref="N14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14" s="5" t="str">
        <f t="shared" si="3"/>
        <v/>
      </c>
      <c r="P14" t="str">
        <f t="shared" ca="1" si="4"/>
        <v/>
      </c>
      <c r="Q14" t="str">
        <f t="shared" si="5"/>
        <v/>
      </c>
      <c r="R14" s="6" t="str">
        <f t="shared" ca="1" si="6"/>
        <v/>
      </c>
      <c r="S14" s="5" t="str">
        <f t="shared" si="7"/>
        <v/>
      </c>
      <c r="T14" t="str">
        <f t="shared" si="17"/>
        <v/>
      </c>
      <c r="U14" t="str">
        <f t="shared" ca="1" si="8"/>
        <v/>
      </c>
      <c r="V14" t="str">
        <f t="shared" si="9"/>
        <v/>
      </c>
      <c r="W14" s="6" t="str">
        <f t="shared" ca="1" si="10"/>
        <v/>
      </c>
      <c r="X14" s="102">
        <f t="shared" si="11"/>
        <v>20</v>
      </c>
      <c r="Y14" s="105" t="str">
        <f t="shared" ca="1" si="12"/>
        <v>Total</v>
      </c>
      <c r="Z14" s="107">
        <f t="shared" ca="1" si="13"/>
        <v>11350</v>
      </c>
      <c r="AA14" s="107">
        <f t="shared" ca="1" si="14"/>
        <v>64200</v>
      </c>
      <c r="AB14" s="106">
        <f t="shared" ca="1" si="15"/>
        <v>0.17679127725856697</v>
      </c>
      <c r="AC14" s="107">
        <f t="shared" ca="1" si="18"/>
        <v>52850</v>
      </c>
      <c r="AD14" s="107">
        <f t="shared" ca="1" si="16"/>
        <v>0</v>
      </c>
      <c r="AF14" s="144"/>
      <c r="AI14" s="146" t="str">
        <f ca="1">Calculations!E37</f>
        <v>Dividends</v>
      </c>
      <c r="AJ14" s="132">
        <f ca="1">Calculations!F37</f>
        <v>350</v>
      </c>
      <c r="AK14" s="145"/>
      <c r="AM14" s="144"/>
      <c r="AR14" s="145"/>
    </row>
    <row r="15" spans="2:47" x14ac:dyDescent="0.3">
      <c r="C15" s="5" t="str" cm="1">
        <f t="array" ref="C15">IF(C14=-1,-1,
         IF(C14&lt;income_max_row,C14+1,
           IF(C14=income_max_row,income_total_row,
                  IF(C14=income_total_row, "/1",
                          IF(C14="/1",expenses_header_row,
                                  IF(C14&lt;expenses_max_row, C14+1,
                                                   IF(C14=expenses_max_row,expenses_total_row,
                                                            IF(C14=expenses_total_row,"/2",
                                                                          IF(C14="/2",Savings_header_row,
                                                                                  IF(C14&lt;savings_max_row,C14+1,
                                                                                           IF(C14=savings_max_row,savings_total_row,
                                                                                                      -1)))))))))))</f>
        <v>/1</v>
      </c>
      <c r="D15" s="6">
        <f t="shared" si="0"/>
        <v>-1</v>
      </c>
      <c r="E15" s="5" cm="1">
        <f t="array" ref="E15">1*OR(row_id=income_header_row,row_id=expenses_header_row,row_id=Savings_header_row)</f>
        <v>0</v>
      </c>
      <c r="F15">
        <f t="shared" si="1"/>
        <v>0</v>
      </c>
      <c r="G15" cm="1">
        <f t="array" ref="G15">1*OR(row_id=income_total_row,row_id=expenses_total_row,row_id=savings_total_row)</f>
        <v>0</v>
      </c>
      <c r="H15" s="6">
        <f t="shared" si="2"/>
        <v>1</v>
      </c>
      <c r="I15" s="5" t="str" cm="1">
        <f t="array" ref="I15">IFERROR(INDEX(Budget_Planning!$C:$C,header_row_id), " ")</f>
        <v xml:space="preserve"> </v>
      </c>
      <c r="J15" t="str" cm="1">
        <f t="array" ref="J15">IFERROR(INDEX(Budget_Planning!$C:$C,row_id), " ")</f>
        <v xml:space="preserve"> </v>
      </c>
      <c r="K15" s="97" t="str" cm="1">
        <f t="array" ref="K15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15" s="98" t="str" cm="1">
        <f t="array" ref="L15">IF(OR(is_header,is_empty),"",
                INDEX(Budget_Planning!$E:$DY,row_id,
                       MATCH(IF(Selected_period="Total Year",Selected_Year,DATE(Selected_Year,Selected_period,1)), Budget_Planning!$E$9:$DY$9, 0)))</f>
        <v/>
      </c>
      <c r="M15" s="5" t="str" cm="1">
        <f t="array" ref="M15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15" s="6" t="str" cm="1">
        <f t="array" ref="N15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15" s="5" t="str">
        <f t="shared" si="3"/>
        <v/>
      </c>
      <c r="P15" t="str">
        <f t="shared" ca="1" si="4"/>
        <v/>
      </c>
      <c r="Q15" t="str">
        <f t="shared" si="5"/>
        <v/>
      </c>
      <c r="R15" s="6" t="str">
        <f t="shared" ca="1" si="6"/>
        <v/>
      </c>
      <c r="S15" s="5" t="str">
        <f t="shared" si="7"/>
        <v/>
      </c>
      <c r="T15" t="str">
        <f t="shared" si="17"/>
        <v/>
      </c>
      <c r="U15" t="str">
        <f t="shared" ca="1" si="8"/>
        <v/>
      </c>
      <c r="V15" t="str">
        <f t="shared" si="9"/>
        <v/>
      </c>
      <c r="W15" s="6" t="str">
        <f t="shared" ca="1" si="10"/>
        <v/>
      </c>
      <c r="X15" s="102" t="str">
        <f t="shared" si="11"/>
        <v>/1</v>
      </c>
      <c r="Y15" s="105" t="str">
        <f t="shared" si="12"/>
        <v/>
      </c>
      <c r="Z15" s="107" t="str">
        <f t="shared" si="13"/>
        <v/>
      </c>
      <c r="AA15" s="107" t="str">
        <f t="shared" si="14"/>
        <v/>
      </c>
      <c r="AB15" s="106" t="str">
        <f t="shared" si="15"/>
        <v/>
      </c>
      <c r="AC15" s="107" t="str">
        <f t="shared" si="18"/>
        <v/>
      </c>
      <c r="AD15" s="107" t="str">
        <f t="shared" si="16"/>
        <v/>
      </c>
      <c r="AF15" s="144"/>
      <c r="AI15" s="146" t="str">
        <f>Calculations!E38</f>
        <v/>
      </c>
      <c r="AJ15" s="132" t="str">
        <f>Calculations!F38</f>
        <v/>
      </c>
      <c r="AK15" s="145"/>
      <c r="AM15" s="144"/>
      <c r="AR15" s="145"/>
    </row>
    <row r="16" spans="2:47" x14ac:dyDescent="0.3">
      <c r="C16" s="5" cm="1">
        <f t="array" ref="C16">IF(C15=-1,-1,
         IF(C15&lt;income_max_row,C15+1,
           IF(C15=income_max_row,income_total_row,
                  IF(C15=income_total_row, "/1",
                          IF(C15="/1",expenses_header_row,
                                  IF(C15&lt;expenses_max_row, C15+1,
                                                   IF(C15=expenses_max_row,expenses_total_row,
                                                            IF(C15=expenses_total_row,"/2",
                                                                          IF(C15="/2",Savings_header_row,
                                                                                  IF(C15&lt;savings_max_row,C15+1,
                                                                                           IF(C15=savings_max_row,savings_total_row,
                                                                                                      -1)))))))))))</f>
        <v>22</v>
      </c>
      <c r="D16" s="6">
        <f t="shared" si="0"/>
        <v>22</v>
      </c>
      <c r="E16" s="5" cm="1">
        <f t="array" ref="E16">1*OR(row_id=income_header_row,row_id=expenses_header_row,row_id=Savings_header_row)</f>
        <v>1</v>
      </c>
      <c r="F16">
        <f t="shared" si="1"/>
        <v>0</v>
      </c>
      <c r="G16" cm="1">
        <f t="array" ref="G16">1*OR(row_id=income_total_row,row_id=expenses_total_row,row_id=savings_total_row)</f>
        <v>0</v>
      </c>
      <c r="H16" s="6">
        <f t="shared" si="2"/>
        <v>0</v>
      </c>
      <c r="I16" s="5" t="str" cm="1">
        <f t="array" ref="I16">IFERROR(INDEX(Budget_Planning!$C:$C,header_row_id), " ")</f>
        <v>Expenses</v>
      </c>
      <c r="J16" t="str" cm="1">
        <f t="array" ref="J16">IFERROR(INDEX(Budget_Planning!$C:$C,row_id), " ")</f>
        <v>Expenses</v>
      </c>
      <c r="K16" s="97" t="str" cm="1">
        <f t="array" ref="K16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16" s="98" t="str" cm="1">
        <f t="array" ref="L16">IF(OR(is_header,is_empty),"",
                INDEX(Budget_Planning!$E:$DY,row_id,
                       MATCH(IF(Selected_period="Total Year",Selected_Year,DATE(Selected_Year,Selected_period,1)), Budget_Planning!$E$9:$DY$9, 0)))</f>
        <v/>
      </c>
      <c r="M16" s="5" t="str" cm="1">
        <f t="array" ref="M16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16" s="6" t="str" cm="1">
        <f t="array" ref="N16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16" s="5" t="str">
        <f t="shared" si="3"/>
        <v/>
      </c>
      <c r="P16" t="str">
        <f t="shared" ca="1" si="4"/>
        <v/>
      </c>
      <c r="Q16" t="str">
        <f t="shared" si="5"/>
        <v/>
      </c>
      <c r="R16" s="6" t="str">
        <f t="shared" ca="1" si="6"/>
        <v/>
      </c>
      <c r="S16" s="5" t="str">
        <f t="shared" si="7"/>
        <v/>
      </c>
      <c r="T16" t="str">
        <f t="shared" si="17"/>
        <v/>
      </c>
      <c r="U16" t="str">
        <f t="shared" ca="1" si="8"/>
        <v/>
      </c>
      <c r="V16" t="str">
        <f t="shared" si="9"/>
        <v/>
      </c>
      <c r="W16" s="6" t="str">
        <f t="shared" ca="1" si="10"/>
        <v/>
      </c>
      <c r="X16" s="102">
        <f t="shared" si="11"/>
        <v>22</v>
      </c>
      <c r="Y16" s="105" t="str">
        <f t="shared" ca="1" si="12"/>
        <v>Expenses</v>
      </c>
      <c r="Z16" s="107" t="str">
        <f t="shared" si="13"/>
        <v>Tracked</v>
      </c>
      <c r="AA16" s="107" t="str">
        <f t="shared" si="14"/>
        <v>Budget</v>
      </c>
      <c r="AB16" s="106" t="str">
        <f t="shared" si="15"/>
        <v>%Compl.</v>
      </c>
      <c r="AC16" s="107" t="str">
        <f t="shared" si="18"/>
        <v>Remaining</v>
      </c>
      <c r="AD16" s="107" t="str">
        <f t="shared" si="16"/>
        <v>Excess</v>
      </c>
      <c r="AF16" s="144"/>
      <c r="AI16" s="146" t="str">
        <f>Calculations!E39</f>
        <v/>
      </c>
      <c r="AJ16" s="132" t="str">
        <f>Calculations!F39</f>
        <v/>
      </c>
      <c r="AK16" s="145"/>
      <c r="AM16" s="144"/>
      <c r="AR16" s="145"/>
    </row>
    <row r="17" spans="3:44" x14ac:dyDescent="0.3">
      <c r="C17" s="5" cm="1">
        <f t="array" ref="C17">IF(C16=-1,-1,
         IF(C16&lt;income_max_row,C16+1,
           IF(C16=income_max_row,income_total_row,
                  IF(C16=income_total_row, "/1",
                          IF(C16="/1",expenses_header_row,
                                  IF(C16&lt;expenses_max_row, C16+1,
                                                   IF(C16=expenses_max_row,expenses_total_row,
                                                            IF(C16=expenses_total_row,"/2",
                                                                          IF(C16="/2",Savings_header_row,
                                                                                  IF(C16&lt;savings_max_row,C16+1,
                                                                                           IF(C16=savings_max_row,savings_total_row,
                                                                                                      -1)))))))))))</f>
        <v>23</v>
      </c>
      <c r="D17" s="6">
        <f t="shared" si="0"/>
        <v>22</v>
      </c>
      <c r="E17" s="5" cm="1">
        <f t="array" ref="E17">1*OR(row_id=income_header_row,row_id=expenses_header_row,row_id=Savings_header_row)</f>
        <v>0</v>
      </c>
      <c r="F17">
        <f t="shared" si="1"/>
        <v>1</v>
      </c>
      <c r="G17" cm="1">
        <f t="array" ref="G17">1*OR(row_id=income_total_row,row_id=expenses_total_row,row_id=savings_total_row)</f>
        <v>0</v>
      </c>
      <c r="H17" s="6">
        <f t="shared" si="2"/>
        <v>0</v>
      </c>
      <c r="I17" s="5" t="str" cm="1">
        <f t="array" ref="I17">IFERROR(INDEX(Budget_Planning!$C:$C,header_row_id), " ")</f>
        <v>Expenses</v>
      </c>
      <c r="J17" t="str" cm="1">
        <f t="array" ref="J17">IFERROR(INDEX(Budget_Planning!$C:$C,row_id), " ")</f>
        <v>Housing</v>
      </c>
      <c r="K17" s="97" cm="1">
        <f t="array" ref="K17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1800</v>
      </c>
      <c r="L17" s="98" cm="1">
        <f t="array" ref="L17">IF(OR(is_header,is_empty),"",
                INDEX(Budget_Planning!$E:$DY,row_id,
                       MATCH(IF(Selected_period="Total Year",Selected_Year,DATE(Selected_Year,Selected_period,1)), Budget_Planning!$E$9:$DY$9, 0)))</f>
        <v>14400</v>
      </c>
      <c r="M17" s="5" cm="1">
        <f t="array" ref="M17">IF(is_cat,
        IF(header_row_id=income_header_row, MATCH(income_min_row,$C:$C,0),
           IF(header_row_id=expenses_header_row,MATCH(expenses_min_row,$C:$C,0),
             IF(header_row_id=Savings_header_row,MATCH(savings_min_row,$C:$C,0),""))), "")</f>
        <v>17</v>
      </c>
      <c r="N17" s="6" cm="1">
        <f t="array" ref="N17">IF(is_cat,
        IF(header_row_id=income_header_row, MATCH(income_max_row,$C:$C,0),
           IF(header_row_id=expenses_header_row,MATCH(expenses_max_row,$C:$C,0),
             IF(header_row_id=Savings_header_row,MATCH(savings_max_row,$C:$C,0),""))), "")</f>
        <v>25</v>
      </c>
      <c r="O17" s="5" t="str">
        <f t="shared" si="3"/>
        <v>$K$17:$K$25</v>
      </c>
      <c r="P17">
        <f t="shared" ca="1" si="4"/>
        <v>2</v>
      </c>
      <c r="Q17" t="str">
        <f t="shared" si="5"/>
        <v>$L$17:$L$25</v>
      </c>
      <c r="R17" s="6">
        <f t="shared" ca="1" si="6"/>
        <v>1</v>
      </c>
      <c r="S17" s="5">
        <f t="shared" ca="1" si="7"/>
        <v>21</v>
      </c>
      <c r="T17" t="str">
        <f t="shared" si="17"/>
        <v>$S$17:$S$25</v>
      </c>
      <c r="U17">
        <f t="shared" ca="1" si="8"/>
        <v>2</v>
      </c>
      <c r="V17" t="str">
        <f t="shared" si="9"/>
        <v>$U$17:$U$17</v>
      </c>
      <c r="W17" s="6">
        <f t="shared" ca="1" si="10"/>
        <v>2</v>
      </c>
      <c r="X17" s="102">
        <f t="shared" ca="1" si="11"/>
        <v>24</v>
      </c>
      <c r="Y17" s="105" t="str">
        <f t="shared" ca="1" si="12"/>
        <v>Groceries</v>
      </c>
      <c r="Z17" s="107">
        <f t="shared" ca="1" si="13"/>
        <v>2300</v>
      </c>
      <c r="AA17" s="107">
        <f t="shared" ca="1" si="14"/>
        <v>4200</v>
      </c>
      <c r="AB17" s="106">
        <f t="shared" ca="1" si="15"/>
        <v>0.54761904761904767</v>
      </c>
      <c r="AC17" s="107">
        <f t="shared" ca="1" si="18"/>
        <v>1900</v>
      </c>
      <c r="AD17" s="107">
        <f t="shared" ca="1" si="16"/>
        <v>0</v>
      </c>
      <c r="AF17" s="144"/>
      <c r="AI17" s="146">
        <f>Calculations!E40</f>
        <v>0</v>
      </c>
      <c r="AJ17" s="132" t="str">
        <f>Calculations!F40</f>
        <v/>
      </c>
      <c r="AK17" s="145"/>
      <c r="AM17" s="144"/>
      <c r="AR17" s="145"/>
    </row>
    <row r="18" spans="3:44" x14ac:dyDescent="0.3">
      <c r="C18" s="5" cm="1">
        <f t="array" ref="C18">IF(C17=-1,-1,
         IF(C17&lt;income_max_row,C17+1,
           IF(C17=income_max_row,income_total_row,
                  IF(C17=income_total_row, "/1",
                          IF(C17="/1",expenses_header_row,
                                  IF(C17&lt;expenses_max_row, C17+1,
                                                   IF(C17=expenses_max_row,expenses_total_row,
                                                            IF(C17=expenses_total_row,"/2",
                                                                          IF(C17="/2",Savings_header_row,
                                                                                  IF(C17&lt;savings_max_row,C17+1,
                                                                                           IF(C17=savings_max_row,savings_total_row,
                                                                                                      -1)))))))))))</f>
        <v>24</v>
      </c>
      <c r="D18" s="6">
        <f t="shared" si="0"/>
        <v>22</v>
      </c>
      <c r="E18" s="5" cm="1">
        <f t="array" ref="E18">1*OR(row_id=income_header_row,row_id=expenses_header_row,row_id=Savings_header_row)</f>
        <v>0</v>
      </c>
      <c r="F18">
        <f t="shared" si="1"/>
        <v>1</v>
      </c>
      <c r="G18" cm="1">
        <f t="array" ref="G18">1*OR(row_id=income_total_row,row_id=expenses_total_row,row_id=savings_total_row)</f>
        <v>0</v>
      </c>
      <c r="H18" s="6">
        <f t="shared" si="2"/>
        <v>0</v>
      </c>
      <c r="I18" s="5" t="str" cm="1">
        <f t="array" ref="I18">IFERROR(INDEX(Budget_Planning!$C:$C,header_row_id), " ")</f>
        <v>Expenses</v>
      </c>
      <c r="J18" t="str" cm="1">
        <f t="array" ref="J18">IFERROR(INDEX(Budget_Planning!$C:$C,row_id), " ")</f>
        <v>Utilities</v>
      </c>
      <c r="K18" s="97" cm="1">
        <f t="array" ref="K18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1400</v>
      </c>
      <c r="L18" s="98" cm="1">
        <f t="array" ref="L18">IF(OR(is_header,is_empty),"",
                INDEX(Budget_Planning!$E:$DY,row_id,
                       MATCH(IF(Selected_period="Total Year",Selected_Year,DATE(Selected_Year,Selected_period,1)), Budget_Planning!$E$9:$DY$9, 0)))</f>
        <v>3600</v>
      </c>
      <c r="M18" s="5" cm="1">
        <f t="array" ref="M18">IF(is_cat,
        IF(header_row_id=income_header_row, MATCH(income_min_row,$C:$C,0),
           IF(header_row_id=expenses_header_row,MATCH(expenses_min_row,$C:$C,0),
             IF(header_row_id=Savings_header_row,MATCH(savings_min_row,$C:$C,0),""))), "")</f>
        <v>17</v>
      </c>
      <c r="N18" s="6" cm="1">
        <f t="array" ref="N18">IF(is_cat,
        IF(header_row_id=income_header_row, MATCH(income_max_row,$C:$C,0),
           IF(header_row_id=expenses_header_row,MATCH(expenses_max_row,$C:$C,0),
             IF(header_row_id=Savings_header_row,MATCH(savings_max_row,$C:$C,0),""))), "")</f>
        <v>25</v>
      </c>
      <c r="O18" s="5" t="str">
        <f t="shared" si="3"/>
        <v>$K$17:$K$25</v>
      </c>
      <c r="P18">
        <f t="shared" ca="1" si="4"/>
        <v>3</v>
      </c>
      <c r="Q18" t="str">
        <f t="shared" si="5"/>
        <v>$L$17:$L$25</v>
      </c>
      <c r="R18" s="6">
        <f t="shared" ca="1" si="6"/>
        <v>4</v>
      </c>
      <c r="S18" s="5">
        <f t="shared" ca="1" si="7"/>
        <v>34</v>
      </c>
      <c r="T18" t="str">
        <f t="shared" si="17"/>
        <v>$S$17:$S$25</v>
      </c>
      <c r="U18">
        <f t="shared" ca="1" si="8"/>
        <v>3</v>
      </c>
      <c r="V18" t="str">
        <f t="shared" si="9"/>
        <v>$U$17:$U$18</v>
      </c>
      <c r="W18" s="6">
        <f t="shared" ca="1" si="10"/>
        <v>3</v>
      </c>
      <c r="X18" s="102">
        <f t="shared" ca="1" si="11"/>
        <v>25</v>
      </c>
      <c r="Y18" s="105" t="str">
        <f t="shared" ca="1" si="12"/>
        <v>Housing</v>
      </c>
      <c r="Z18" s="107">
        <f t="shared" ca="1" si="13"/>
        <v>1800</v>
      </c>
      <c r="AA18" s="107">
        <f t="shared" ca="1" si="14"/>
        <v>14400</v>
      </c>
      <c r="AB18" s="106">
        <f t="shared" ca="1" si="15"/>
        <v>0.125</v>
      </c>
      <c r="AC18" s="107">
        <f t="shared" ca="1" si="18"/>
        <v>12600</v>
      </c>
      <c r="AD18" s="107">
        <f t="shared" ca="1" si="16"/>
        <v>0</v>
      </c>
      <c r="AF18" s="144"/>
      <c r="AI18" s="133" t="str">
        <f>Calculations!E41</f>
        <v>Total</v>
      </c>
      <c r="AJ18" s="134">
        <f ca="1">Calculations!F41</f>
        <v>11350</v>
      </c>
      <c r="AK18" s="145"/>
      <c r="AM18" s="144"/>
      <c r="AR18" s="145"/>
    </row>
    <row r="19" spans="3:44" x14ac:dyDescent="0.3">
      <c r="C19" s="5" cm="1">
        <f t="array" ref="C19">IF(C18=-1,-1,
         IF(C18&lt;income_max_row,C18+1,
           IF(C18=income_max_row,income_total_row,
                  IF(C18=income_total_row, "/1",
                          IF(C18="/1",expenses_header_row,
                                  IF(C18&lt;expenses_max_row, C18+1,
                                                   IF(C18=expenses_max_row,expenses_total_row,
                                                            IF(C18=expenses_total_row,"/2",
                                                                          IF(C18="/2",Savings_header_row,
                                                                                  IF(C18&lt;savings_max_row,C18+1,
                                                                                           IF(C18=savings_max_row,savings_total_row,
                                                                                                      -1)))))))))))</f>
        <v>25</v>
      </c>
      <c r="D19" s="6">
        <f t="shared" si="0"/>
        <v>22</v>
      </c>
      <c r="E19" s="5" cm="1">
        <f t="array" ref="E19">1*OR(row_id=income_header_row,row_id=expenses_header_row,row_id=Savings_header_row)</f>
        <v>0</v>
      </c>
      <c r="F19">
        <f t="shared" si="1"/>
        <v>1</v>
      </c>
      <c r="G19" cm="1">
        <f t="array" ref="G19">1*OR(row_id=income_total_row,row_id=expenses_total_row,row_id=savings_total_row)</f>
        <v>0</v>
      </c>
      <c r="H19" s="6">
        <f t="shared" si="2"/>
        <v>0</v>
      </c>
      <c r="I19" s="5" t="str" cm="1">
        <f t="array" ref="I19">IFERROR(INDEX(Budget_Planning!$C:$C,header_row_id), " ")</f>
        <v>Expenses</v>
      </c>
      <c r="J19" t="str" cm="1">
        <f t="array" ref="J19">IFERROR(INDEX(Budget_Planning!$C:$C,row_id), " ")</f>
        <v>Groceries</v>
      </c>
      <c r="K19" s="97" cm="1">
        <f t="array" ref="K19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2300</v>
      </c>
      <c r="L19" s="98" cm="1">
        <f t="array" ref="L19">IF(OR(is_header,is_empty),"",
                INDEX(Budget_Planning!$E:$DY,row_id,
                       MATCH(IF(Selected_period="Total Year",Selected_Year,DATE(Selected_Year,Selected_period,1)), Budget_Planning!$E$9:$DY$9, 0)))</f>
        <v>4200</v>
      </c>
      <c r="M19" s="5" cm="1">
        <f t="array" ref="M19">IF(is_cat,
        IF(header_row_id=income_header_row, MATCH(income_min_row,$C:$C,0),
           IF(header_row_id=expenses_header_row,MATCH(expenses_min_row,$C:$C,0),
             IF(header_row_id=Savings_header_row,MATCH(savings_min_row,$C:$C,0),""))), "")</f>
        <v>17</v>
      </c>
      <c r="N19" s="6" cm="1">
        <f t="array" ref="N19">IF(is_cat,
        IF(header_row_id=income_header_row, MATCH(income_max_row,$C:$C,0),
           IF(header_row_id=expenses_header_row,MATCH(expenses_max_row,$C:$C,0),
             IF(header_row_id=Savings_header_row,MATCH(savings_max_row,$C:$C,0),""))), "")</f>
        <v>25</v>
      </c>
      <c r="O19" s="5" t="str">
        <f t="shared" si="3"/>
        <v>$K$17:$K$25</v>
      </c>
      <c r="P19">
        <f t="shared" ca="1" si="4"/>
        <v>1</v>
      </c>
      <c r="Q19" t="str">
        <f t="shared" si="5"/>
        <v>$L$17:$L$25</v>
      </c>
      <c r="R19" s="6">
        <f t="shared" ca="1" si="6"/>
        <v>3</v>
      </c>
      <c r="S19" s="5">
        <f t="shared" ca="1" si="7"/>
        <v>13</v>
      </c>
      <c r="T19" t="str">
        <f t="shared" si="17"/>
        <v>$S$17:$S$25</v>
      </c>
      <c r="U19">
        <f t="shared" ca="1" si="8"/>
        <v>1</v>
      </c>
      <c r="V19" t="str">
        <f t="shared" si="9"/>
        <v>$U$17:$U$19</v>
      </c>
      <c r="W19" s="6">
        <f t="shared" ca="1" si="10"/>
        <v>1</v>
      </c>
      <c r="X19" s="102">
        <f t="shared" ca="1" si="11"/>
        <v>23</v>
      </c>
      <c r="Y19" s="105" t="str">
        <f t="shared" ca="1" si="12"/>
        <v>Utilities</v>
      </c>
      <c r="Z19" s="107">
        <f t="shared" ca="1" si="13"/>
        <v>1400</v>
      </c>
      <c r="AA19" s="107">
        <f t="shared" ca="1" si="14"/>
        <v>3600</v>
      </c>
      <c r="AB19" s="106">
        <f t="shared" ca="1" si="15"/>
        <v>0.3888888888888889</v>
      </c>
      <c r="AC19" s="107">
        <f t="shared" ca="1" si="18"/>
        <v>2200</v>
      </c>
      <c r="AD19" s="107">
        <f t="shared" ca="1" si="16"/>
        <v>0</v>
      </c>
      <c r="AF19" s="144"/>
      <c r="AK19" s="145"/>
      <c r="AM19" s="144"/>
      <c r="AR19" s="145"/>
    </row>
    <row r="20" spans="3:44" x14ac:dyDescent="0.3">
      <c r="C20" s="5" cm="1">
        <f t="array" ref="C20">IF(C19=-1,-1,
         IF(C19&lt;income_max_row,C19+1,
           IF(C19=income_max_row,income_total_row,
                  IF(C19=income_total_row, "/1",
                          IF(C19="/1",expenses_header_row,
                                  IF(C19&lt;expenses_max_row, C19+1,
                                                   IF(C19=expenses_max_row,expenses_total_row,
                                                            IF(C19=expenses_total_row,"/2",
                                                                          IF(C19="/2",Savings_header_row,
                                                                                  IF(C19&lt;savings_max_row,C19+1,
                                                                                           IF(C19=savings_max_row,savings_total_row,
                                                                                                      -1)))))))))))</f>
        <v>26</v>
      </c>
      <c r="D20" s="6">
        <f t="shared" si="0"/>
        <v>22</v>
      </c>
      <c r="E20" s="5" cm="1">
        <f t="array" ref="E20">1*OR(row_id=income_header_row,row_id=expenses_header_row,row_id=Savings_header_row)</f>
        <v>0</v>
      </c>
      <c r="F20">
        <f t="shared" si="1"/>
        <v>1</v>
      </c>
      <c r="G20" cm="1">
        <f t="array" ref="G20">1*OR(row_id=income_total_row,row_id=expenses_total_row,row_id=savings_total_row)</f>
        <v>0</v>
      </c>
      <c r="H20" s="6">
        <f t="shared" si="2"/>
        <v>0</v>
      </c>
      <c r="I20" s="5" t="str" cm="1">
        <f t="array" ref="I20">IFERROR(INDEX(Budget_Planning!$C:$C,header_row_id), " ")</f>
        <v>Expenses</v>
      </c>
      <c r="J20" t="str" cm="1">
        <f t="array" ref="J20">IFERROR(INDEX(Budget_Planning!$C:$C,row_id), " ")</f>
        <v>Transport</v>
      </c>
      <c r="K20" s="97" cm="1">
        <f t="array" ref="K20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800</v>
      </c>
      <c r="L20" s="98" cm="1">
        <f t="array" ref="L20">IF(OR(is_header,is_empty),"",
                INDEX(Budget_Planning!$E:$DY,row_id,
                       MATCH(IF(Selected_period="Total Year",Selected_Year,DATE(Selected_Year,Selected_period,1)), Budget_Planning!$E$9:$DY$9, 0)))</f>
        <v>3600</v>
      </c>
      <c r="M20" s="5" cm="1">
        <f t="array" ref="M20">IF(is_cat,
        IF(header_row_id=income_header_row, MATCH(income_min_row,$C:$C,0),
           IF(header_row_id=expenses_header_row,MATCH(expenses_min_row,$C:$C,0),
             IF(header_row_id=Savings_header_row,MATCH(savings_min_row,$C:$C,0),""))), "")</f>
        <v>17</v>
      </c>
      <c r="N20" s="6" cm="1">
        <f t="array" ref="N20">IF(is_cat,
        IF(header_row_id=income_header_row, MATCH(income_max_row,$C:$C,0),
           IF(header_row_id=expenses_header_row,MATCH(expenses_max_row,$C:$C,0),
             IF(header_row_id=Savings_header_row,MATCH(savings_max_row,$C:$C,0),""))), "")</f>
        <v>25</v>
      </c>
      <c r="O20" s="5" t="str">
        <f t="shared" si="3"/>
        <v>$K$17:$K$25</v>
      </c>
      <c r="P20">
        <f t="shared" ca="1" si="4"/>
        <v>5</v>
      </c>
      <c r="Q20" t="str">
        <f t="shared" si="5"/>
        <v>$L$17:$L$25</v>
      </c>
      <c r="R20" s="6">
        <f t="shared" ca="1" si="6"/>
        <v>4</v>
      </c>
      <c r="S20" s="5">
        <f t="shared" ca="1" si="7"/>
        <v>54</v>
      </c>
      <c r="T20" t="str">
        <f t="shared" si="17"/>
        <v>$S$17:$S$25</v>
      </c>
      <c r="U20">
        <f t="shared" ca="1" si="8"/>
        <v>5</v>
      </c>
      <c r="V20" t="str">
        <f t="shared" si="9"/>
        <v>$U$17:$U$20</v>
      </c>
      <c r="W20" s="6">
        <f t="shared" ca="1" si="10"/>
        <v>5</v>
      </c>
      <c r="X20" s="102">
        <f t="shared" ca="1" si="11"/>
        <v>27</v>
      </c>
      <c r="Y20" s="105" t="str">
        <f t="shared" ca="1" si="12"/>
        <v>Body care</v>
      </c>
      <c r="Z20" s="107">
        <f t="shared" ca="1" si="13"/>
        <v>970</v>
      </c>
      <c r="AA20" s="107">
        <f t="shared" ca="1" si="14"/>
        <v>2400</v>
      </c>
      <c r="AB20" s="106">
        <f t="shared" ca="1" si="15"/>
        <v>0.40416666666666667</v>
      </c>
      <c r="AC20" s="107">
        <f t="shared" ca="1" si="18"/>
        <v>1430</v>
      </c>
      <c r="AD20" s="107">
        <f t="shared" ca="1" si="16"/>
        <v>0</v>
      </c>
      <c r="AF20" s="144"/>
      <c r="AH20" s="48"/>
      <c r="AK20" s="145"/>
      <c r="AM20" s="144"/>
      <c r="AR20" s="145"/>
    </row>
    <row r="21" spans="3:44" ht="15" thickBot="1" x14ac:dyDescent="0.35">
      <c r="C21" s="5" cm="1">
        <f t="array" ref="C21">IF(C20=-1,-1,
         IF(C20&lt;income_max_row,C20+1,
           IF(C20=income_max_row,income_total_row,
                  IF(C20=income_total_row, "/1",
                          IF(C20="/1",expenses_header_row,
                                  IF(C20&lt;expenses_max_row, C20+1,
                                                   IF(C20=expenses_max_row,expenses_total_row,
                                                            IF(C20=expenses_total_row,"/2",
                                                                          IF(C20="/2",Savings_header_row,
                                                                                  IF(C20&lt;savings_max_row,C20+1,
                                                                                           IF(C20=savings_max_row,savings_total_row,
                                                                                                      -1)))))))))))</f>
        <v>27</v>
      </c>
      <c r="D21" s="6">
        <f t="shared" si="0"/>
        <v>22</v>
      </c>
      <c r="E21" s="5" cm="1">
        <f t="array" ref="E21">1*OR(row_id=income_header_row,row_id=expenses_header_row,row_id=Savings_header_row)</f>
        <v>0</v>
      </c>
      <c r="F21">
        <f t="shared" si="1"/>
        <v>1</v>
      </c>
      <c r="G21" cm="1">
        <f t="array" ref="G21">1*OR(row_id=income_total_row,row_id=expenses_total_row,row_id=savings_total_row)</f>
        <v>0</v>
      </c>
      <c r="H21" s="6">
        <f t="shared" si="2"/>
        <v>0</v>
      </c>
      <c r="I21" s="5" t="str" cm="1">
        <f t="array" ref="I21">IFERROR(INDEX(Budget_Planning!$C:$C,header_row_id), " ")</f>
        <v>Expenses</v>
      </c>
      <c r="J21" t="str" cm="1">
        <f t="array" ref="J21">IFERROR(INDEX(Budget_Planning!$C:$C,row_id), " ")</f>
        <v>Insurance</v>
      </c>
      <c r="K21" s="97" cm="1">
        <f t="array" ref="K21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600</v>
      </c>
      <c r="L21" s="98" cm="1">
        <f t="array" ref="L21">IF(OR(is_header,is_empty),"",
                INDEX(Budget_Planning!$E:$DY,row_id,
                       MATCH(IF(Selected_period="Total Year",Selected_Year,DATE(Selected_Year,Selected_period,1)), Budget_Planning!$E$9:$DY$9, 0)))</f>
        <v>600</v>
      </c>
      <c r="M21" s="5" cm="1">
        <f t="array" ref="M21">IF(is_cat,
        IF(header_row_id=income_header_row, MATCH(income_min_row,$C:$C,0),
           IF(header_row_id=expenses_header_row,MATCH(expenses_min_row,$C:$C,0),
             IF(header_row_id=Savings_header_row,MATCH(savings_min_row,$C:$C,0),""))), "")</f>
        <v>17</v>
      </c>
      <c r="N21" s="6" cm="1">
        <f t="array" ref="N21">IF(is_cat,
        IF(header_row_id=income_header_row, MATCH(income_max_row,$C:$C,0),
           IF(header_row_id=expenses_header_row,MATCH(expenses_max_row,$C:$C,0),
             IF(header_row_id=Savings_header_row,MATCH(savings_max_row,$C:$C,0),""))), "")</f>
        <v>25</v>
      </c>
      <c r="O21" s="5" t="str">
        <f t="shared" si="3"/>
        <v>$K$17:$K$25</v>
      </c>
      <c r="P21">
        <f t="shared" ca="1" si="4"/>
        <v>6</v>
      </c>
      <c r="Q21" t="str">
        <f t="shared" si="5"/>
        <v>$L$17:$L$25</v>
      </c>
      <c r="R21" s="6">
        <f t="shared" ca="1" si="6"/>
        <v>8</v>
      </c>
      <c r="S21" s="5">
        <f t="shared" ca="1" si="7"/>
        <v>68</v>
      </c>
      <c r="T21" t="str">
        <f t="shared" si="17"/>
        <v>$S$17:$S$25</v>
      </c>
      <c r="U21">
        <f t="shared" ca="1" si="8"/>
        <v>6</v>
      </c>
      <c r="V21" t="str">
        <f t="shared" si="9"/>
        <v>$U$17:$U$21</v>
      </c>
      <c r="W21" s="6">
        <f t="shared" ca="1" si="10"/>
        <v>6</v>
      </c>
      <c r="X21" s="102">
        <f t="shared" ca="1" si="11"/>
        <v>28</v>
      </c>
      <c r="Y21" s="105" t="str">
        <f t="shared" ca="1" si="12"/>
        <v>Transport</v>
      </c>
      <c r="Z21" s="107">
        <f t="shared" ca="1" si="13"/>
        <v>800</v>
      </c>
      <c r="AA21" s="107">
        <f t="shared" ca="1" si="14"/>
        <v>3600</v>
      </c>
      <c r="AB21" s="106">
        <f t="shared" ca="1" si="15"/>
        <v>0.22222222222222221</v>
      </c>
      <c r="AC21" s="107">
        <f t="shared" ca="1" si="18"/>
        <v>2800</v>
      </c>
      <c r="AD21" s="107">
        <f t="shared" ca="1" si="16"/>
        <v>0</v>
      </c>
      <c r="AF21" s="147"/>
      <c r="AG21" s="148"/>
      <c r="AH21" s="148"/>
      <c r="AI21" s="148"/>
      <c r="AJ21" s="148"/>
      <c r="AK21" s="149"/>
      <c r="AM21" s="147"/>
      <c r="AN21" s="148"/>
      <c r="AO21" s="148"/>
      <c r="AP21" s="148"/>
      <c r="AQ21" s="148"/>
      <c r="AR21" s="149"/>
    </row>
    <row r="22" spans="3:44" ht="15" thickBot="1" x14ac:dyDescent="0.35">
      <c r="C22" s="5" cm="1">
        <f t="array" ref="C22">IF(C21=-1,-1,
         IF(C21&lt;income_max_row,C21+1,
           IF(C21=income_max_row,income_total_row,
                  IF(C21=income_total_row, "/1",
                          IF(C21="/1",expenses_header_row,
                                  IF(C21&lt;expenses_max_row, C21+1,
                                                   IF(C21=expenses_max_row,expenses_total_row,
                                                            IF(C21=expenses_total_row,"/2",
                                                                          IF(C21="/2",Savings_header_row,
                                                                                  IF(C21&lt;savings_max_row,C21+1,
                                                                                           IF(C21=savings_max_row,savings_total_row,
                                                                                                      -1)))))))))))</f>
        <v>28</v>
      </c>
      <c r="D22" s="6">
        <f t="shared" si="0"/>
        <v>22</v>
      </c>
      <c r="E22" s="5" cm="1">
        <f t="array" ref="E22">1*OR(row_id=income_header_row,row_id=expenses_header_row,row_id=Savings_header_row)</f>
        <v>0</v>
      </c>
      <c r="F22">
        <f t="shared" si="1"/>
        <v>1</v>
      </c>
      <c r="G22" cm="1">
        <f t="array" ref="G22">1*OR(row_id=income_total_row,row_id=expenses_total_row,row_id=savings_total_row)</f>
        <v>0</v>
      </c>
      <c r="H22" s="6">
        <f t="shared" si="2"/>
        <v>0</v>
      </c>
      <c r="I22" s="5" t="str" cm="1">
        <f t="array" ref="I22">IFERROR(INDEX(Budget_Planning!$C:$C,header_row_id), " ")</f>
        <v>Expenses</v>
      </c>
      <c r="J22" t="str" cm="1">
        <f t="array" ref="J22">IFERROR(INDEX(Budget_Planning!$C:$C,row_id), " ")</f>
        <v>Clothing</v>
      </c>
      <c r="K22" s="97" cm="1">
        <f t="array" ref="K22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400</v>
      </c>
      <c r="L22" s="98" cm="1">
        <f t="array" ref="L22">IF(OR(is_header,is_empty),"",
                INDEX(Budget_Planning!$E:$DY,row_id,
                       MATCH(IF(Selected_period="Total Year",Selected_Year,DATE(Selected_Year,Selected_period,1)), Budget_Planning!$E$9:$DY$9, 0)))</f>
        <v>2400</v>
      </c>
      <c r="M22" s="5" cm="1">
        <f t="array" ref="M22">IF(is_cat,
        IF(header_row_id=income_header_row, MATCH(income_min_row,$C:$C,0),
           IF(header_row_id=expenses_header_row,MATCH(expenses_min_row,$C:$C,0),
             IF(header_row_id=Savings_header_row,MATCH(savings_min_row,$C:$C,0),""))), "")</f>
        <v>17</v>
      </c>
      <c r="N22" s="6" cm="1">
        <f t="array" ref="N22">IF(is_cat,
        IF(header_row_id=income_header_row, MATCH(income_max_row,$C:$C,0),
           IF(header_row_id=expenses_header_row,MATCH(expenses_max_row,$C:$C,0),
             IF(header_row_id=Savings_header_row,MATCH(savings_max_row,$C:$C,0),""))), "")</f>
        <v>25</v>
      </c>
      <c r="O22" s="5" t="str">
        <f t="shared" si="3"/>
        <v>$K$17:$K$25</v>
      </c>
      <c r="P22">
        <f t="shared" ca="1" si="4"/>
        <v>7</v>
      </c>
      <c r="Q22" t="str">
        <f t="shared" si="5"/>
        <v>$L$17:$L$25</v>
      </c>
      <c r="R22" s="6">
        <f t="shared" ca="1" si="6"/>
        <v>6</v>
      </c>
      <c r="S22" s="5">
        <f t="shared" ca="1" si="7"/>
        <v>76</v>
      </c>
      <c r="T22" t="str">
        <f t="shared" si="17"/>
        <v>$S$17:$S$25</v>
      </c>
      <c r="U22">
        <f t="shared" ca="1" si="8"/>
        <v>7</v>
      </c>
      <c r="V22" t="str">
        <f t="shared" si="9"/>
        <v>$U$17:$U$22</v>
      </c>
      <c r="W22" s="6">
        <f t="shared" ca="1" si="10"/>
        <v>7</v>
      </c>
      <c r="X22" s="102">
        <f t="shared" ca="1" si="11"/>
        <v>29</v>
      </c>
      <c r="Y22" s="105" t="str">
        <f t="shared" ca="1" si="12"/>
        <v>Insurance</v>
      </c>
      <c r="Z22" s="107">
        <f t="shared" ca="1" si="13"/>
        <v>600</v>
      </c>
      <c r="AA22" s="107">
        <f t="shared" ca="1" si="14"/>
        <v>600</v>
      </c>
      <c r="AB22" s="106">
        <f t="shared" ca="1" si="15"/>
        <v>1</v>
      </c>
      <c r="AC22" s="107">
        <f t="shared" ca="1" si="18"/>
        <v>0</v>
      </c>
      <c r="AD22" s="107">
        <f t="shared" ca="1" si="16"/>
        <v>0</v>
      </c>
    </row>
    <row r="23" spans="3:44" x14ac:dyDescent="0.3">
      <c r="C23" s="5" cm="1">
        <f t="array" ref="C23">IF(C22=-1,-1,
         IF(C22&lt;income_max_row,C22+1,
           IF(C22=income_max_row,income_total_row,
                  IF(C22=income_total_row, "/1",
                          IF(C22="/1",expenses_header_row,
                                  IF(C22&lt;expenses_max_row, C22+1,
                                                   IF(C22=expenses_max_row,expenses_total_row,
                                                            IF(C22=expenses_total_row,"/2",
                                                                          IF(C22="/2",Savings_header_row,
                                                                                  IF(C22&lt;savings_max_row,C22+1,
                                                                                           IF(C22=savings_max_row,savings_total_row,
                                                                                                      -1)))))))))))</f>
        <v>29</v>
      </c>
      <c r="D23" s="6">
        <f t="shared" si="0"/>
        <v>22</v>
      </c>
      <c r="E23" s="5" cm="1">
        <f t="array" ref="E23">1*OR(row_id=income_header_row,row_id=expenses_header_row,row_id=Savings_header_row)</f>
        <v>0</v>
      </c>
      <c r="F23">
        <f t="shared" si="1"/>
        <v>1</v>
      </c>
      <c r="G23" cm="1">
        <f t="array" ref="G23">1*OR(row_id=income_total_row,row_id=expenses_total_row,row_id=savings_total_row)</f>
        <v>0</v>
      </c>
      <c r="H23" s="6">
        <f t="shared" si="2"/>
        <v>0</v>
      </c>
      <c r="I23" s="5" t="str" cm="1">
        <f t="array" ref="I23">IFERROR(INDEX(Budget_Planning!$C:$C,header_row_id), " ")</f>
        <v>Expenses</v>
      </c>
      <c r="J23" t="str" cm="1">
        <f t="array" ref="J23">IFERROR(INDEX(Budget_Planning!$C:$C,row_id), " ")</f>
        <v>Body care</v>
      </c>
      <c r="K23" s="97" cm="1">
        <f t="array" ref="K23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970</v>
      </c>
      <c r="L23" s="98" cm="1">
        <f t="array" ref="L23">IF(OR(is_header,is_empty),"",
                INDEX(Budget_Planning!$E:$DY,row_id,
                       MATCH(IF(Selected_period="Total Year",Selected_Year,DATE(Selected_Year,Selected_period,1)), Budget_Planning!$E$9:$DY$9, 0)))</f>
        <v>2400</v>
      </c>
      <c r="M23" s="5" cm="1">
        <f t="array" ref="M23">IF(is_cat,
        IF(header_row_id=income_header_row, MATCH(income_min_row,$C:$C,0),
           IF(header_row_id=expenses_header_row,MATCH(expenses_min_row,$C:$C,0),
             IF(header_row_id=Savings_header_row,MATCH(savings_min_row,$C:$C,0),""))), "")</f>
        <v>17</v>
      </c>
      <c r="N23" s="6" cm="1">
        <f t="array" ref="N23">IF(is_cat,
        IF(header_row_id=income_header_row, MATCH(income_max_row,$C:$C,0),
           IF(header_row_id=expenses_header_row,MATCH(expenses_max_row,$C:$C,0),
             IF(header_row_id=Savings_header_row,MATCH(savings_max_row,$C:$C,0),""))), "")</f>
        <v>25</v>
      </c>
      <c r="O23" s="5" t="str">
        <f t="shared" si="3"/>
        <v>$K$17:$K$25</v>
      </c>
      <c r="P23">
        <f t="shared" ca="1" si="4"/>
        <v>4</v>
      </c>
      <c r="Q23" t="str">
        <f t="shared" si="5"/>
        <v>$L$17:$L$25</v>
      </c>
      <c r="R23" s="6">
        <f t="shared" ca="1" si="6"/>
        <v>6</v>
      </c>
      <c r="S23" s="5">
        <f t="shared" ca="1" si="7"/>
        <v>46</v>
      </c>
      <c r="T23" t="str">
        <f t="shared" si="17"/>
        <v>$S$17:$S$25</v>
      </c>
      <c r="U23">
        <f t="shared" ca="1" si="8"/>
        <v>4</v>
      </c>
      <c r="V23" t="str">
        <f t="shared" si="9"/>
        <v>$U$17:$U$23</v>
      </c>
      <c r="W23" s="6">
        <f t="shared" ca="1" si="10"/>
        <v>4</v>
      </c>
      <c r="X23" s="102">
        <f t="shared" ca="1" si="11"/>
        <v>26</v>
      </c>
      <c r="Y23" s="105" t="str">
        <f t="shared" ca="1" si="12"/>
        <v>Clothing</v>
      </c>
      <c r="Z23" s="107">
        <f t="shared" ca="1" si="13"/>
        <v>400</v>
      </c>
      <c r="AA23" s="107">
        <f t="shared" ca="1" si="14"/>
        <v>2400</v>
      </c>
      <c r="AB23" s="106">
        <f t="shared" ca="1" si="15"/>
        <v>0.16666666666666666</v>
      </c>
      <c r="AC23" s="107">
        <f t="shared" ca="1" si="18"/>
        <v>2000</v>
      </c>
      <c r="AD23" s="107">
        <f t="shared" ca="1" si="16"/>
        <v>0</v>
      </c>
      <c r="AF23" s="141"/>
      <c r="AG23" s="142"/>
      <c r="AH23" s="142"/>
      <c r="AI23" s="142"/>
      <c r="AJ23" s="142"/>
      <c r="AK23" s="143"/>
      <c r="AM23" s="141"/>
      <c r="AN23" s="142"/>
      <c r="AO23" s="142"/>
      <c r="AP23" s="142"/>
      <c r="AQ23" s="142"/>
      <c r="AR23" s="143"/>
    </row>
    <row r="24" spans="3:44" x14ac:dyDescent="0.3">
      <c r="C24" s="5" cm="1">
        <f t="array" ref="C24">IF(C23=-1,-1,
         IF(C23&lt;income_max_row,C23+1,
           IF(C23=income_max_row,income_total_row,
                  IF(C23=income_total_row, "/1",
                          IF(C23="/1",expenses_header_row,
                                  IF(C23&lt;expenses_max_row, C23+1,
                                                   IF(C23=expenses_max_row,expenses_total_row,
                                                            IF(C23=expenses_total_row,"/2",
                                                                          IF(C23="/2",Savings_header_row,
                                                                                  IF(C23&lt;savings_max_row,C23+1,
                                                                                           IF(C23=savings_max_row,savings_total_row,
                                                                                                      -1)))))))))))</f>
        <v>30</v>
      </c>
      <c r="D24" s="6">
        <f t="shared" si="0"/>
        <v>22</v>
      </c>
      <c r="E24" s="5" cm="1">
        <f t="array" ref="E24">1*OR(row_id=income_header_row,row_id=expenses_header_row,row_id=Savings_header_row)</f>
        <v>0</v>
      </c>
      <c r="F24">
        <f t="shared" si="1"/>
        <v>1</v>
      </c>
      <c r="G24" cm="1">
        <f t="array" ref="G24">1*OR(row_id=income_total_row,row_id=expenses_total_row,row_id=savings_total_row)</f>
        <v>0</v>
      </c>
      <c r="H24" s="6">
        <f t="shared" si="2"/>
        <v>0</v>
      </c>
      <c r="I24" s="5" t="str" cm="1">
        <f t="array" ref="I24">IFERROR(INDEX(Budget_Planning!$C:$C,header_row_id), " ")</f>
        <v>Expenses</v>
      </c>
      <c r="J24" t="str" cm="1">
        <f t="array" ref="J24">IFERROR(INDEX(Budget_Planning!$C:$C,row_id), " ")</f>
        <v>Media</v>
      </c>
      <c r="K24" s="97" cm="1">
        <f t="array" ref="K24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0</v>
      </c>
      <c r="L24" s="98" cm="1">
        <f t="array" ref="L24">IF(OR(is_header,is_empty),"",
                INDEX(Budget_Planning!$E:$DY,row_id,
                       MATCH(IF(Selected_period="Total Year",Selected_Year,DATE(Selected_Year,Selected_period,1)), Budget_Planning!$E$9:$DY$9, 0)))</f>
        <v>600</v>
      </c>
      <c r="M24" s="5" cm="1">
        <f t="array" ref="M24">IF(is_cat,
        IF(header_row_id=income_header_row, MATCH(income_min_row,$C:$C,0),
           IF(header_row_id=expenses_header_row,MATCH(expenses_min_row,$C:$C,0),
             IF(header_row_id=Savings_header_row,MATCH(savings_min_row,$C:$C,0),""))), "")</f>
        <v>17</v>
      </c>
      <c r="N24" s="6" cm="1">
        <f t="array" ref="N24">IF(is_cat,
        IF(header_row_id=income_header_row, MATCH(income_max_row,$C:$C,0),
           IF(header_row_id=expenses_header_row,MATCH(expenses_max_row,$C:$C,0),
             IF(header_row_id=Savings_header_row,MATCH(savings_max_row,$C:$C,0),""))), "")</f>
        <v>25</v>
      </c>
      <c r="O24" s="5" t="str">
        <f t="shared" si="3"/>
        <v>$K$17:$K$25</v>
      </c>
      <c r="P24">
        <f t="shared" ca="1" si="4"/>
        <v>8</v>
      </c>
      <c r="Q24" t="str">
        <f t="shared" si="5"/>
        <v>$L$17:$L$25</v>
      </c>
      <c r="R24" s="6">
        <f t="shared" ca="1" si="6"/>
        <v>8</v>
      </c>
      <c r="S24" s="5">
        <f t="shared" ca="1" si="7"/>
        <v>88</v>
      </c>
      <c r="T24" t="str">
        <f t="shared" si="17"/>
        <v>$S$17:$S$25</v>
      </c>
      <c r="U24">
        <f t="shared" ca="1" si="8"/>
        <v>9</v>
      </c>
      <c r="V24" t="str">
        <f t="shared" si="9"/>
        <v>$U$17:$U$24</v>
      </c>
      <c r="W24" s="6">
        <f t="shared" ca="1" si="10"/>
        <v>9</v>
      </c>
      <c r="X24" s="102">
        <f t="shared" ca="1" si="11"/>
        <v>31</v>
      </c>
      <c r="Y24" s="105" t="str">
        <f t="shared" ca="1" si="12"/>
        <v>Fun&amp;Vacation</v>
      </c>
      <c r="Z24" s="107">
        <f t="shared" ca="1" si="13"/>
        <v>0</v>
      </c>
      <c r="AA24" s="107">
        <f t="shared" ca="1" si="14"/>
        <v>6000</v>
      </c>
      <c r="AB24" s="106">
        <f t="shared" ca="1" si="15"/>
        <v>0</v>
      </c>
      <c r="AC24" s="107">
        <f t="shared" ca="1" si="18"/>
        <v>6000</v>
      </c>
      <c r="AD24" s="107">
        <f t="shared" ca="1" si="16"/>
        <v>0</v>
      </c>
      <c r="AF24" s="144"/>
      <c r="AK24" s="145"/>
      <c r="AM24" s="144"/>
      <c r="AR24" s="145"/>
    </row>
    <row r="25" spans="3:44" x14ac:dyDescent="0.3">
      <c r="C25" s="5" cm="1">
        <f t="array" ref="C25">IF(C24=-1,-1,
         IF(C24&lt;income_max_row,C24+1,
           IF(C24=income_max_row,income_total_row,
                  IF(C24=income_total_row, "/1",
                          IF(C24="/1",expenses_header_row,
                                  IF(C24&lt;expenses_max_row, C24+1,
                                                   IF(C24=expenses_max_row,expenses_total_row,
                                                            IF(C24=expenses_total_row,"/2",
                                                                          IF(C24="/2",Savings_header_row,
                                                                                  IF(C24&lt;savings_max_row,C24+1,
                                                                                           IF(C24=savings_max_row,savings_total_row,
                                                                                                      -1)))))))))))</f>
        <v>31</v>
      </c>
      <c r="D25" s="6">
        <f t="shared" si="0"/>
        <v>22</v>
      </c>
      <c r="E25" s="5" cm="1">
        <f t="array" ref="E25">1*OR(row_id=income_header_row,row_id=expenses_header_row,row_id=Savings_header_row)</f>
        <v>0</v>
      </c>
      <c r="F25">
        <f t="shared" si="1"/>
        <v>1</v>
      </c>
      <c r="G25" cm="1">
        <f t="array" ref="G25">1*OR(row_id=income_total_row,row_id=expenses_total_row,row_id=savings_total_row)</f>
        <v>0</v>
      </c>
      <c r="H25" s="6">
        <f t="shared" si="2"/>
        <v>0</v>
      </c>
      <c r="I25" s="5" t="str" cm="1">
        <f t="array" ref="I25">IFERROR(INDEX(Budget_Planning!$C:$C,header_row_id), " ")</f>
        <v>Expenses</v>
      </c>
      <c r="J25" t="str" cm="1">
        <f t="array" ref="J25">IFERROR(INDEX(Budget_Planning!$C:$C,row_id), " ")</f>
        <v>Fun&amp;Vacation</v>
      </c>
      <c r="K25" s="97" cm="1">
        <f t="array" ref="K25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0</v>
      </c>
      <c r="L25" s="98" cm="1">
        <f t="array" ref="L25">IF(OR(is_header,is_empty),"",
                INDEX(Budget_Planning!$E:$DY,row_id,
                       MATCH(IF(Selected_period="Total Year",Selected_Year,DATE(Selected_Year,Selected_period,1)), Budget_Planning!$E$9:$DY$9, 0)))</f>
        <v>6000</v>
      </c>
      <c r="M25" s="5" cm="1">
        <f t="array" ref="M25">IF(is_cat,
        IF(header_row_id=income_header_row, MATCH(income_min_row,$C:$C,0),
           IF(header_row_id=expenses_header_row,MATCH(expenses_min_row,$C:$C,0),
             IF(header_row_id=Savings_header_row,MATCH(savings_min_row,$C:$C,0),""))), "")</f>
        <v>17</v>
      </c>
      <c r="N25" s="6" cm="1">
        <f t="array" ref="N25">IF(is_cat,
        IF(header_row_id=income_header_row, MATCH(income_max_row,$C:$C,0),
           IF(header_row_id=expenses_header_row,MATCH(expenses_max_row,$C:$C,0),
             IF(header_row_id=Savings_header_row,MATCH(savings_max_row,$C:$C,0),""))), "")</f>
        <v>25</v>
      </c>
      <c r="O25" s="5" t="str">
        <f t="shared" si="3"/>
        <v>$K$17:$K$25</v>
      </c>
      <c r="P25">
        <f t="shared" ca="1" si="4"/>
        <v>8</v>
      </c>
      <c r="Q25" t="str">
        <f t="shared" si="5"/>
        <v>$L$17:$L$25</v>
      </c>
      <c r="R25" s="6">
        <f t="shared" ca="1" si="6"/>
        <v>2</v>
      </c>
      <c r="S25" s="5">
        <f t="shared" ca="1" si="7"/>
        <v>82</v>
      </c>
      <c r="T25" t="str">
        <f t="shared" si="17"/>
        <v>$S$17:$S$25</v>
      </c>
      <c r="U25">
        <f t="shared" ca="1" si="8"/>
        <v>8</v>
      </c>
      <c r="V25" t="str">
        <f t="shared" si="9"/>
        <v>$U$17:$U$25</v>
      </c>
      <c r="W25" s="6">
        <f t="shared" ca="1" si="10"/>
        <v>8</v>
      </c>
      <c r="X25" s="102">
        <f t="shared" ca="1" si="11"/>
        <v>30</v>
      </c>
      <c r="Y25" s="105" t="str">
        <f t="shared" ca="1" si="12"/>
        <v>Media</v>
      </c>
      <c r="Z25" s="107">
        <f t="shared" ca="1" si="13"/>
        <v>0</v>
      </c>
      <c r="AA25" s="107">
        <f t="shared" ca="1" si="14"/>
        <v>600</v>
      </c>
      <c r="AB25" s="106">
        <f t="shared" ca="1" si="15"/>
        <v>0</v>
      </c>
      <c r="AC25" s="107">
        <f t="shared" ca="1" si="18"/>
        <v>600</v>
      </c>
      <c r="AD25" s="107">
        <f t="shared" ca="1" si="16"/>
        <v>0</v>
      </c>
      <c r="AF25" s="144"/>
      <c r="AI25" s="146" t="str">
        <f ca="1">Calculations!I35</f>
        <v>Groceries</v>
      </c>
      <c r="AJ25" s="132">
        <f ca="1">Calculations!J35</f>
        <v>2300</v>
      </c>
      <c r="AK25" s="145"/>
      <c r="AM25" s="144"/>
      <c r="AP25" s="146" t="str">
        <f ca="1">Calculations!M35</f>
        <v>Emergency Fund</v>
      </c>
      <c r="AQ25" s="132">
        <f ca="1">Calculations!N35</f>
        <v>1100</v>
      </c>
      <c r="AR25" s="145"/>
    </row>
    <row r="26" spans="3:44" x14ac:dyDescent="0.3">
      <c r="C26" s="5" cm="1">
        <f t="array" ref="C26">IF(C25=-1,-1,
         IF(C25&lt;income_max_row,C25+1,
           IF(C25=income_max_row,income_total_row,
                  IF(C25=income_total_row, "/1",
                          IF(C25="/1",expenses_header_row,
                                  IF(C25&lt;expenses_max_row, C25+1,
                                                   IF(C25=expenses_max_row,expenses_total_row,
                                                            IF(C25=expenses_total_row,"/2",
                                                                          IF(C25="/2",Savings_header_row,
                                                                                  IF(C25&lt;savings_max_row,C25+1,
                                                                                           IF(C25=savings_max_row,savings_total_row,
                                                                                                      -1)))))))))))</f>
        <v>33</v>
      </c>
      <c r="D26" s="6">
        <f t="shared" si="0"/>
        <v>22</v>
      </c>
      <c r="E26" s="5" cm="1">
        <f t="array" ref="E26">1*OR(row_id=income_header_row,row_id=expenses_header_row,row_id=Savings_header_row)</f>
        <v>0</v>
      </c>
      <c r="F26">
        <f t="shared" si="1"/>
        <v>0</v>
      </c>
      <c r="G26" cm="1">
        <f t="array" ref="G26">1*OR(row_id=income_total_row,row_id=expenses_total_row,row_id=savings_total_row)</f>
        <v>1</v>
      </c>
      <c r="H26" s="6">
        <f t="shared" si="2"/>
        <v>0</v>
      </c>
      <c r="I26" s="5" t="str" cm="1">
        <f t="array" ref="I26">IFERROR(INDEX(Budget_Planning!$C:$C,header_row_id), " ")</f>
        <v>Expenses</v>
      </c>
      <c r="J26" t="str" cm="1">
        <f t="array" ref="J26">IFERROR(INDEX(Budget_Planning!$C:$C,row_id), " ")</f>
        <v>Total</v>
      </c>
      <c r="K26" s="97" cm="1">
        <f t="array" ref="K26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8270</v>
      </c>
      <c r="L26" s="98" cm="1">
        <f t="array" aca="1" ref="L26" ca="1">IF(OR(is_header,is_empty),"",
                INDEX(Budget_Planning!$E:$DY,row_id,
                       MATCH(IF(Selected_period="Total Year",Selected_Year,DATE(Selected_Year,Selected_period,1)), Budget_Planning!$E$9:$DY$9, 0)))</f>
        <v>37800</v>
      </c>
      <c r="M26" s="5" t="str" cm="1">
        <f t="array" ref="M26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26" s="6" t="str" cm="1">
        <f t="array" ref="N26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26" s="5" t="str">
        <f t="shared" si="3"/>
        <v/>
      </c>
      <c r="P26" t="str">
        <f t="shared" ca="1" si="4"/>
        <v/>
      </c>
      <c r="Q26" t="str">
        <f t="shared" si="5"/>
        <v/>
      </c>
      <c r="R26" s="6" t="str">
        <f t="shared" ca="1" si="6"/>
        <v/>
      </c>
      <c r="S26" s="5" t="str">
        <f t="shared" si="7"/>
        <v/>
      </c>
      <c r="T26" t="str">
        <f t="shared" si="17"/>
        <v/>
      </c>
      <c r="U26" t="str">
        <f t="shared" ca="1" si="8"/>
        <v/>
      </c>
      <c r="V26" t="str">
        <f t="shared" si="9"/>
        <v/>
      </c>
      <c r="W26" s="6" t="str">
        <f t="shared" ca="1" si="10"/>
        <v/>
      </c>
      <c r="X26" s="102">
        <f t="shared" si="11"/>
        <v>33</v>
      </c>
      <c r="Y26" s="105" t="str">
        <f t="shared" ca="1" si="12"/>
        <v>Total</v>
      </c>
      <c r="Z26" s="107">
        <f t="shared" ca="1" si="13"/>
        <v>8270</v>
      </c>
      <c r="AA26" s="107">
        <f t="shared" ca="1" si="14"/>
        <v>37800</v>
      </c>
      <c r="AB26" s="106">
        <f t="shared" ca="1" si="15"/>
        <v>0.21878306878306877</v>
      </c>
      <c r="AC26" s="107">
        <f t="shared" ca="1" si="18"/>
        <v>29530</v>
      </c>
      <c r="AD26" s="107">
        <f t="shared" ca="1" si="16"/>
        <v>0</v>
      </c>
      <c r="AF26" s="144"/>
      <c r="AI26" s="146" t="str">
        <f ca="1">Calculations!I36</f>
        <v>Housing</v>
      </c>
      <c r="AJ26" s="132">
        <f ca="1">Calculations!J36</f>
        <v>1800</v>
      </c>
      <c r="AK26" s="145"/>
      <c r="AM26" s="144"/>
      <c r="AP26" s="146" t="str">
        <f ca="1">Calculations!M36</f>
        <v>Retirement Account</v>
      </c>
      <c r="AQ26" s="132">
        <f ca="1">Calculations!N36</f>
        <v>850</v>
      </c>
      <c r="AR26" s="145"/>
    </row>
    <row r="27" spans="3:44" x14ac:dyDescent="0.3">
      <c r="C27" s="5" t="str" cm="1">
        <f t="array" ref="C27">IF(C26=-1,-1,
         IF(C26&lt;income_max_row,C26+1,
           IF(C26=income_max_row,income_total_row,
                  IF(C26=income_total_row, "/1",
                          IF(C26="/1",expenses_header_row,
                                  IF(C26&lt;expenses_max_row, C26+1,
                                                   IF(C26=expenses_max_row,expenses_total_row,
                                                            IF(C26=expenses_total_row,"/2",
                                                                          IF(C26="/2",Savings_header_row,
                                                                                  IF(C26&lt;savings_max_row,C26+1,
                                                                                           IF(C26=savings_max_row,savings_total_row,
                                                                                                      -1)))))))))))</f>
        <v>/2</v>
      </c>
      <c r="D27" s="6">
        <f t="shared" si="0"/>
        <v>-1</v>
      </c>
      <c r="E27" s="5" cm="1">
        <f t="array" ref="E27">1*OR(row_id=income_header_row,row_id=expenses_header_row,row_id=Savings_header_row)</f>
        <v>0</v>
      </c>
      <c r="F27">
        <f t="shared" si="1"/>
        <v>0</v>
      </c>
      <c r="G27" cm="1">
        <f t="array" ref="G27">1*OR(row_id=income_total_row,row_id=expenses_total_row,row_id=savings_total_row)</f>
        <v>0</v>
      </c>
      <c r="H27" s="6">
        <f t="shared" si="2"/>
        <v>1</v>
      </c>
      <c r="I27" s="5" t="str" cm="1">
        <f t="array" ref="I27">IFERROR(INDEX(Budget_Planning!$C:$C,header_row_id), " ")</f>
        <v xml:space="preserve"> </v>
      </c>
      <c r="J27" t="str" cm="1">
        <f t="array" ref="J27">IFERROR(INDEX(Budget_Planning!$C:$C,row_id), " ")</f>
        <v xml:space="preserve"> </v>
      </c>
      <c r="K27" s="97" t="str" cm="1">
        <f t="array" ref="K27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27" s="98" t="str" cm="1">
        <f t="array" ref="L27">IF(OR(is_header,is_empty),"",
                INDEX(Budget_Planning!$E:$DY,row_id,
                       MATCH(IF(Selected_period="Total Year",Selected_Year,DATE(Selected_Year,Selected_period,1)), Budget_Planning!$E$9:$DY$9, 0)))</f>
        <v/>
      </c>
      <c r="M27" s="5" t="str" cm="1">
        <f t="array" ref="M27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27" s="6" t="str" cm="1">
        <f t="array" ref="N27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27" s="5" t="str">
        <f t="shared" si="3"/>
        <v/>
      </c>
      <c r="P27" t="str">
        <f t="shared" ca="1" si="4"/>
        <v/>
      </c>
      <c r="Q27" t="str">
        <f t="shared" si="5"/>
        <v/>
      </c>
      <c r="R27" s="6" t="str">
        <f t="shared" ca="1" si="6"/>
        <v/>
      </c>
      <c r="S27" s="5" t="str">
        <f t="shared" si="7"/>
        <v/>
      </c>
      <c r="T27" t="str">
        <f t="shared" si="17"/>
        <v/>
      </c>
      <c r="U27" t="str">
        <f t="shared" ca="1" si="8"/>
        <v/>
      </c>
      <c r="V27" t="str">
        <f t="shared" si="9"/>
        <v/>
      </c>
      <c r="W27" s="6" t="str">
        <f t="shared" ca="1" si="10"/>
        <v/>
      </c>
      <c r="X27" s="102" t="str">
        <f t="shared" si="11"/>
        <v>/2</v>
      </c>
      <c r="Y27" s="105" t="str">
        <f t="shared" si="12"/>
        <v/>
      </c>
      <c r="Z27" s="107" t="str">
        <f t="shared" si="13"/>
        <v/>
      </c>
      <c r="AA27" s="107" t="str">
        <f t="shared" si="14"/>
        <v/>
      </c>
      <c r="AB27" s="106" t="str">
        <f t="shared" si="15"/>
        <v/>
      </c>
      <c r="AC27" s="107" t="str">
        <f t="shared" si="18"/>
        <v/>
      </c>
      <c r="AD27" s="107" t="str">
        <f t="shared" si="16"/>
        <v/>
      </c>
      <c r="AF27" s="144"/>
      <c r="AI27" s="146" t="str">
        <f ca="1">Calculations!I37</f>
        <v>Utilities</v>
      </c>
      <c r="AJ27" s="132">
        <f ca="1">Calculations!J37</f>
        <v>1400</v>
      </c>
      <c r="AK27" s="145"/>
      <c r="AM27" s="144"/>
      <c r="AP27" s="146" t="str">
        <f ca="1">Calculations!M37</f>
        <v>Stock Portfolio</v>
      </c>
      <c r="AQ27" s="132">
        <f ca="1">Calculations!N37</f>
        <v>300</v>
      </c>
      <c r="AR27" s="145"/>
    </row>
    <row r="28" spans="3:44" x14ac:dyDescent="0.3">
      <c r="C28" s="5" cm="1">
        <f t="array" ref="C28">IF(C27=-1,-1,
         IF(C27&lt;income_max_row,C27+1,
           IF(C27=income_max_row,income_total_row,
                  IF(C27=income_total_row, "/1",
                          IF(C27="/1",expenses_header_row,
                                  IF(C27&lt;expenses_max_row, C27+1,
                                                   IF(C27=expenses_max_row,expenses_total_row,
                                                            IF(C27=expenses_total_row,"/2",
                                                                          IF(C27="/2",Savings_header_row,
                                                                                  IF(C27&lt;savings_max_row,C27+1,
                                                                                           IF(C27=savings_max_row,savings_total_row,
                                                                                                      -1)))))))))))</f>
        <v>35</v>
      </c>
      <c r="D28" s="6">
        <f t="shared" si="0"/>
        <v>35</v>
      </c>
      <c r="E28" s="5" cm="1">
        <f t="array" ref="E28">1*OR(row_id=income_header_row,row_id=expenses_header_row,row_id=Savings_header_row)</f>
        <v>1</v>
      </c>
      <c r="F28">
        <f t="shared" si="1"/>
        <v>0</v>
      </c>
      <c r="G28" cm="1">
        <f t="array" ref="G28">1*OR(row_id=income_total_row,row_id=expenses_total_row,row_id=savings_total_row)</f>
        <v>0</v>
      </c>
      <c r="H28" s="6">
        <f t="shared" si="2"/>
        <v>0</v>
      </c>
      <c r="I28" s="5" t="str" cm="1">
        <f t="array" ref="I28">IFERROR(INDEX(Budget_Planning!$C:$C,header_row_id), " ")</f>
        <v>Savings</v>
      </c>
      <c r="J28" t="str" cm="1">
        <f t="array" ref="J28">IFERROR(INDEX(Budget_Planning!$C:$C,row_id), " ")</f>
        <v>Savings</v>
      </c>
      <c r="K28" s="97" t="str" cm="1">
        <f t="array" ref="K28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28" s="98" t="str" cm="1">
        <f t="array" ref="L28">IF(OR(is_header,is_empty),"",
                INDEX(Budget_Planning!$E:$DY,row_id,
                       MATCH(IF(Selected_period="Total Year",Selected_Year,DATE(Selected_Year,Selected_period,1)), Budget_Planning!$E$9:$DY$9, 0)))</f>
        <v/>
      </c>
      <c r="M28" s="5" t="str" cm="1">
        <f t="array" ref="M28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28" s="6" t="str" cm="1">
        <f t="array" ref="N28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28" s="5" t="str">
        <f t="shared" si="3"/>
        <v/>
      </c>
      <c r="P28" t="str">
        <f t="shared" ca="1" si="4"/>
        <v/>
      </c>
      <c r="Q28" t="str">
        <f t="shared" si="5"/>
        <v/>
      </c>
      <c r="R28" s="6" t="str">
        <f t="shared" ca="1" si="6"/>
        <v/>
      </c>
      <c r="S28" s="5" t="str">
        <f t="shared" si="7"/>
        <v/>
      </c>
      <c r="T28" t="str">
        <f t="shared" si="17"/>
        <v/>
      </c>
      <c r="U28" t="str">
        <f t="shared" ca="1" si="8"/>
        <v/>
      </c>
      <c r="V28" t="str">
        <f t="shared" si="9"/>
        <v/>
      </c>
      <c r="W28" s="6" t="str">
        <f t="shared" ca="1" si="10"/>
        <v/>
      </c>
      <c r="X28" s="102">
        <f t="shared" si="11"/>
        <v>35</v>
      </c>
      <c r="Y28" s="105" t="str">
        <f t="shared" ca="1" si="12"/>
        <v>Savings</v>
      </c>
      <c r="Z28" s="107" t="str">
        <f t="shared" si="13"/>
        <v>Tracked</v>
      </c>
      <c r="AA28" s="107" t="str">
        <f t="shared" si="14"/>
        <v>Budget</v>
      </c>
      <c r="AB28" s="106" t="str">
        <f t="shared" si="15"/>
        <v>%Compl.</v>
      </c>
      <c r="AC28" s="107" t="str">
        <f t="shared" si="18"/>
        <v>Remaining</v>
      </c>
      <c r="AD28" s="107" t="str">
        <f t="shared" si="16"/>
        <v>Excess</v>
      </c>
      <c r="AF28" s="144"/>
      <c r="AI28" s="146" t="str">
        <f ca="1">Calculations!I38</f>
        <v>Body care</v>
      </c>
      <c r="AJ28" s="132">
        <f ca="1">Calculations!J38</f>
        <v>970</v>
      </c>
      <c r="AK28" s="145"/>
      <c r="AM28" s="144"/>
      <c r="AP28" s="146" t="str">
        <f ca="1">Calculations!M38</f>
        <v>Sinking Fund</v>
      </c>
      <c r="AQ28" s="132">
        <f ca="1">Calculations!N38</f>
        <v>250</v>
      </c>
      <c r="AR28" s="145"/>
    </row>
    <row r="29" spans="3:44" x14ac:dyDescent="0.3">
      <c r="C29" s="5" cm="1">
        <f t="array" ref="C29">IF(C28=-1,-1,
         IF(C28&lt;income_max_row,C28+1,
           IF(C28=income_max_row,income_total_row,
                  IF(C28=income_total_row, "/1",
                          IF(C28="/1",expenses_header_row,
                                  IF(C28&lt;expenses_max_row, C28+1,
                                                   IF(C28=expenses_max_row,expenses_total_row,
                                                            IF(C28=expenses_total_row,"/2",
                                                                          IF(C28="/2",Savings_header_row,
                                                                                  IF(C28&lt;savings_max_row,C28+1,
                                                                                           IF(C28=savings_max_row,savings_total_row,
                                                                                                      -1)))))))))))</f>
        <v>36</v>
      </c>
      <c r="D29" s="6">
        <f t="shared" si="0"/>
        <v>35</v>
      </c>
      <c r="E29" s="5" cm="1">
        <f t="array" ref="E29">1*OR(row_id=income_header_row,row_id=expenses_header_row,row_id=Savings_header_row)</f>
        <v>0</v>
      </c>
      <c r="F29">
        <f t="shared" si="1"/>
        <v>1</v>
      </c>
      <c r="G29" cm="1">
        <f t="array" ref="G29">1*OR(row_id=income_total_row,row_id=expenses_total_row,row_id=savings_total_row)</f>
        <v>0</v>
      </c>
      <c r="H29" s="6">
        <f t="shared" si="2"/>
        <v>0</v>
      </c>
      <c r="I29" s="5" t="str" cm="1">
        <f t="array" ref="I29">IFERROR(INDEX(Budget_Planning!$C:$C,header_row_id), " ")</f>
        <v>Savings</v>
      </c>
      <c r="J29" t="str" cm="1">
        <f t="array" ref="J29">IFERROR(INDEX(Budget_Planning!$C:$C,row_id), " ")</f>
        <v>Emergency Fund</v>
      </c>
      <c r="K29" s="97" cm="1">
        <f t="array" ref="K29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1100</v>
      </c>
      <c r="L29" s="98" cm="1">
        <f t="array" ref="L29">IF(OR(is_header,is_empty),"",
                INDEX(Budget_Planning!$E:$DY,row_id,
                       MATCH(IF(Selected_period="Total Year",Selected_Year,DATE(Selected_Year,Selected_period,1)), Budget_Planning!$E$9:$DY$9, 0)))</f>
        <v>3000</v>
      </c>
      <c r="M29" s="5" cm="1">
        <f t="array" ref="M29">IF(is_cat,
        IF(header_row_id=income_header_row, MATCH(income_min_row,$C:$C,0),
           IF(header_row_id=expenses_header_row,MATCH(expenses_min_row,$C:$C,0),
             IF(header_row_id=Savings_header_row,MATCH(savings_min_row,$C:$C,0),""))), "")</f>
        <v>29</v>
      </c>
      <c r="N29" s="6" cm="1">
        <f t="array" ref="N29">IF(is_cat,
        IF(header_row_id=income_header_row, MATCH(income_max_row,$C:$C,0),
           IF(header_row_id=expenses_header_row,MATCH(expenses_max_row,$C:$C,0),
             IF(header_row_id=Savings_header_row,MATCH(savings_max_row,$C:$C,0),""))), "")</f>
        <v>33</v>
      </c>
      <c r="O29" s="5" t="str">
        <f t="shared" si="3"/>
        <v>$K$29:$K$33</v>
      </c>
      <c r="P29">
        <f t="shared" ca="1" si="4"/>
        <v>1</v>
      </c>
      <c r="Q29" t="str">
        <f t="shared" si="5"/>
        <v>$L$29:$L$33</v>
      </c>
      <c r="R29" s="6">
        <f t="shared" ca="1" si="6"/>
        <v>4</v>
      </c>
      <c r="S29" s="5">
        <f t="shared" ca="1" si="7"/>
        <v>14</v>
      </c>
      <c r="T29" t="str">
        <f t="shared" si="17"/>
        <v>$S$29:$S$33</v>
      </c>
      <c r="U29">
        <f t="shared" ca="1" si="8"/>
        <v>1</v>
      </c>
      <c r="V29" t="str">
        <f t="shared" si="9"/>
        <v>$U$29:$U$29</v>
      </c>
      <c r="W29" s="6">
        <f t="shared" ca="1" si="10"/>
        <v>1</v>
      </c>
      <c r="X29" s="102">
        <f t="shared" ca="1" si="11"/>
        <v>36</v>
      </c>
      <c r="Y29" s="105" t="str">
        <f t="shared" ca="1" si="12"/>
        <v>Emergency Fund</v>
      </c>
      <c r="Z29" s="107">
        <f t="shared" ca="1" si="13"/>
        <v>1100</v>
      </c>
      <c r="AA29" s="107">
        <f t="shared" ca="1" si="14"/>
        <v>3000</v>
      </c>
      <c r="AB29" s="106">
        <f t="shared" ca="1" si="15"/>
        <v>0.36666666666666664</v>
      </c>
      <c r="AC29" s="107">
        <f t="shared" ca="1" si="18"/>
        <v>1900</v>
      </c>
      <c r="AD29" s="107">
        <f t="shared" ca="1" si="16"/>
        <v>0</v>
      </c>
      <c r="AF29" s="144"/>
      <c r="AI29" s="146" t="str">
        <f ca="1">Calculations!I39</f>
        <v>Transport</v>
      </c>
      <c r="AJ29" s="132">
        <f ca="1">Calculations!J39</f>
        <v>800</v>
      </c>
      <c r="AK29" s="145"/>
      <c r="AM29" s="144"/>
      <c r="AP29" s="146" t="str">
        <f ca="1">Calculations!M39</f>
        <v>Sinking fund rest</v>
      </c>
      <c r="AQ29" s="132">
        <f ca="1">Calculations!N39</f>
        <v>250</v>
      </c>
      <c r="AR29" s="145"/>
    </row>
    <row r="30" spans="3:44" x14ac:dyDescent="0.3">
      <c r="C30" s="5" cm="1">
        <f t="array" ref="C30">IF(C29=-1,-1,
         IF(C29&lt;income_max_row,C29+1,
           IF(C29=income_max_row,income_total_row,
                  IF(C29=income_total_row, "/1",
                          IF(C29="/1",expenses_header_row,
                                  IF(C29&lt;expenses_max_row, C29+1,
                                                   IF(C29=expenses_max_row,expenses_total_row,
                                                            IF(C29=expenses_total_row,"/2",
                                                                          IF(C29="/2",Savings_header_row,
                                                                                  IF(C29&lt;savings_max_row,C29+1,
                                                                                           IF(C29=savings_max_row,savings_total_row,
                                                                                                      -1)))))))))))</f>
        <v>37</v>
      </c>
      <c r="D30" s="6">
        <f t="shared" si="0"/>
        <v>35</v>
      </c>
      <c r="E30" s="5" cm="1">
        <f t="array" ref="E30">1*OR(row_id=income_header_row,row_id=expenses_header_row,row_id=Savings_header_row)</f>
        <v>0</v>
      </c>
      <c r="F30">
        <f t="shared" si="1"/>
        <v>1</v>
      </c>
      <c r="G30" cm="1">
        <f t="array" ref="G30">1*OR(row_id=income_total_row,row_id=expenses_total_row,row_id=savings_total_row)</f>
        <v>0</v>
      </c>
      <c r="H30" s="6">
        <f t="shared" si="2"/>
        <v>0</v>
      </c>
      <c r="I30" s="5" t="str" cm="1">
        <f t="array" ref="I30">IFERROR(INDEX(Budget_Planning!$C:$C,header_row_id), " ")</f>
        <v>Savings</v>
      </c>
      <c r="J30" t="str" cm="1">
        <f t="array" ref="J30">IFERROR(INDEX(Budget_Planning!$C:$C,row_id), " ")</f>
        <v>Retirement Account</v>
      </c>
      <c r="K30" s="97" cm="1">
        <f t="array" ref="K30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850</v>
      </c>
      <c r="L30" s="98" cm="1">
        <f t="array" ref="L30">IF(OR(is_header,is_empty),"",
                INDEX(Budget_Planning!$E:$DY,row_id,
                       MATCH(IF(Selected_period="Total Year",Selected_Year,DATE(Selected_Year,Selected_period,1)), Budget_Planning!$E$9:$DY$9, 0)))</f>
        <v>4800</v>
      </c>
      <c r="M30" s="5" cm="1">
        <f t="array" ref="M30">IF(is_cat,
        IF(header_row_id=income_header_row, MATCH(income_min_row,$C:$C,0),
           IF(header_row_id=expenses_header_row,MATCH(expenses_min_row,$C:$C,0),
             IF(header_row_id=Savings_header_row,MATCH(savings_min_row,$C:$C,0),""))), "")</f>
        <v>29</v>
      </c>
      <c r="N30" s="6" cm="1">
        <f t="array" ref="N30">IF(is_cat,
        IF(header_row_id=income_header_row, MATCH(income_max_row,$C:$C,0),
           IF(header_row_id=expenses_header_row,MATCH(expenses_max_row,$C:$C,0),
             IF(header_row_id=Savings_header_row,MATCH(savings_max_row,$C:$C,0),""))), "")</f>
        <v>33</v>
      </c>
      <c r="O30" s="5" t="str">
        <f t="shared" si="3"/>
        <v>$K$29:$K$33</v>
      </c>
      <c r="P30">
        <f t="shared" ca="1" si="4"/>
        <v>2</v>
      </c>
      <c r="Q30" t="str">
        <f t="shared" si="5"/>
        <v>$L$29:$L$33</v>
      </c>
      <c r="R30" s="6">
        <f t="shared" ca="1" si="6"/>
        <v>3</v>
      </c>
      <c r="S30" s="5">
        <f t="shared" ca="1" si="7"/>
        <v>23</v>
      </c>
      <c r="T30" t="str">
        <f t="shared" si="17"/>
        <v>$S$29:$S$33</v>
      </c>
      <c r="U30">
        <f t="shared" ca="1" si="8"/>
        <v>2</v>
      </c>
      <c r="V30" t="str">
        <f t="shared" si="9"/>
        <v>$U$29:$U$30</v>
      </c>
      <c r="W30" s="6">
        <f t="shared" ca="1" si="10"/>
        <v>2</v>
      </c>
      <c r="X30" s="102">
        <f t="shared" ca="1" si="11"/>
        <v>37</v>
      </c>
      <c r="Y30" s="105" t="str">
        <f t="shared" ca="1" si="12"/>
        <v>Retirement Account</v>
      </c>
      <c r="Z30" s="107">
        <f t="shared" ca="1" si="13"/>
        <v>850</v>
      </c>
      <c r="AA30" s="107">
        <f t="shared" ca="1" si="14"/>
        <v>4800</v>
      </c>
      <c r="AB30" s="106">
        <f t="shared" ca="1" si="15"/>
        <v>0.17708333333333334</v>
      </c>
      <c r="AC30" s="107">
        <f t="shared" ca="1" si="18"/>
        <v>3950</v>
      </c>
      <c r="AD30" s="107">
        <f t="shared" ca="1" si="16"/>
        <v>0</v>
      </c>
      <c r="AF30" s="144"/>
      <c r="AI30" s="146">
        <f>Calculations!I40</f>
        <v>0</v>
      </c>
      <c r="AJ30" s="132">
        <f ca="1">Calculations!J40</f>
        <v>600</v>
      </c>
      <c r="AK30" s="145"/>
      <c r="AM30" s="144"/>
      <c r="AP30" s="146">
        <f>Calculations!M40</f>
        <v>0</v>
      </c>
      <c r="AQ30" s="132" t="str">
        <f>Calculations!N40</f>
        <v/>
      </c>
      <c r="AR30" s="145"/>
    </row>
    <row r="31" spans="3:44" x14ac:dyDescent="0.3">
      <c r="C31" s="5" cm="1">
        <f t="array" ref="C31">IF(C30=-1,-1,
         IF(C30&lt;income_max_row,C30+1,
           IF(C30=income_max_row,income_total_row,
                  IF(C30=income_total_row, "/1",
                          IF(C30="/1",expenses_header_row,
                                  IF(C30&lt;expenses_max_row, C30+1,
                                                   IF(C30=expenses_max_row,expenses_total_row,
                                                            IF(C30=expenses_total_row,"/2",
                                                                          IF(C30="/2",Savings_header_row,
                                                                                  IF(C30&lt;savings_max_row,C30+1,
                                                                                           IF(C30=savings_max_row,savings_total_row,
                                                                                                      -1)))))))))))</f>
        <v>38</v>
      </c>
      <c r="D31" s="6">
        <f t="shared" si="0"/>
        <v>35</v>
      </c>
      <c r="E31" s="5" cm="1">
        <f t="array" ref="E31">1*OR(row_id=income_header_row,row_id=expenses_header_row,row_id=Savings_header_row)</f>
        <v>0</v>
      </c>
      <c r="F31">
        <f t="shared" si="1"/>
        <v>1</v>
      </c>
      <c r="G31" cm="1">
        <f t="array" ref="G31">1*OR(row_id=income_total_row,row_id=expenses_total_row,row_id=savings_total_row)</f>
        <v>0</v>
      </c>
      <c r="H31" s="6">
        <f t="shared" si="2"/>
        <v>0</v>
      </c>
      <c r="I31" s="5" t="str" cm="1">
        <f t="array" ref="I31">IFERROR(INDEX(Budget_Planning!$C:$C,header_row_id), " ")</f>
        <v>Savings</v>
      </c>
      <c r="J31" t="str" cm="1">
        <f t="array" ref="J31">IFERROR(INDEX(Budget_Planning!$C:$C,row_id), " ")</f>
        <v>Stock Portfolio</v>
      </c>
      <c r="K31" s="97" cm="1">
        <f t="array" ref="K31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300</v>
      </c>
      <c r="L31" s="98" cm="1">
        <f t="array" ref="L31">IF(OR(is_header,is_empty),"",
                INDEX(Budget_Planning!$E:$DY,row_id,
                       MATCH(IF(Selected_period="Total Year",Selected_Year,DATE(Selected_Year,Selected_period,1)), Budget_Planning!$E$9:$DY$9, 0)))</f>
        <v>7200</v>
      </c>
      <c r="M31" s="5" cm="1">
        <f t="array" ref="M31">IF(is_cat,
        IF(header_row_id=income_header_row, MATCH(income_min_row,$C:$C,0),
           IF(header_row_id=expenses_header_row,MATCH(expenses_min_row,$C:$C,0),
             IF(header_row_id=Savings_header_row,MATCH(savings_min_row,$C:$C,0),""))), "")</f>
        <v>29</v>
      </c>
      <c r="N31" s="6" cm="1">
        <f t="array" ref="N31">IF(is_cat,
        IF(header_row_id=income_header_row, MATCH(income_max_row,$C:$C,0),
           IF(header_row_id=expenses_header_row,MATCH(expenses_max_row,$C:$C,0),
             IF(header_row_id=Savings_header_row,MATCH(savings_max_row,$C:$C,0),""))), "")</f>
        <v>33</v>
      </c>
      <c r="O31" s="5" t="str">
        <f t="shared" si="3"/>
        <v>$K$29:$K$33</v>
      </c>
      <c r="P31">
        <f t="shared" ca="1" si="4"/>
        <v>3</v>
      </c>
      <c r="Q31" t="str">
        <f t="shared" si="5"/>
        <v>$L$29:$L$33</v>
      </c>
      <c r="R31" s="6">
        <f t="shared" ca="1" si="6"/>
        <v>2</v>
      </c>
      <c r="S31" s="5">
        <f t="shared" ca="1" si="7"/>
        <v>32</v>
      </c>
      <c r="T31" t="str">
        <f t="shared" si="17"/>
        <v>$S$29:$S$33</v>
      </c>
      <c r="U31">
        <f t="shared" ca="1" si="8"/>
        <v>3</v>
      </c>
      <c r="V31" t="str">
        <f t="shared" si="9"/>
        <v>$U$29:$U$31</v>
      </c>
      <c r="W31" s="6">
        <f t="shared" ca="1" si="10"/>
        <v>3</v>
      </c>
      <c r="X31" s="102">
        <f t="shared" ca="1" si="11"/>
        <v>38</v>
      </c>
      <c r="Y31" s="105" t="str">
        <f t="shared" ca="1" si="12"/>
        <v>Stock Portfolio</v>
      </c>
      <c r="Z31" s="107">
        <f t="shared" ca="1" si="13"/>
        <v>300</v>
      </c>
      <c r="AA31" s="107">
        <f t="shared" ca="1" si="14"/>
        <v>7200</v>
      </c>
      <c r="AB31" s="106">
        <f t="shared" ca="1" si="15"/>
        <v>4.1666666666666664E-2</v>
      </c>
      <c r="AC31" s="107">
        <f t="shared" ca="1" si="18"/>
        <v>6900</v>
      </c>
      <c r="AD31" s="107">
        <f t="shared" ca="1" si="16"/>
        <v>0</v>
      </c>
      <c r="AF31" s="144"/>
      <c r="AI31" s="133" t="str">
        <f>Calculations!I41</f>
        <v>Total</v>
      </c>
      <c r="AJ31" s="134">
        <f ca="1">Calculations!J41</f>
        <v>8270</v>
      </c>
      <c r="AK31" s="145"/>
      <c r="AM31" s="144"/>
      <c r="AP31" s="133" t="str">
        <f>Calculations!M41</f>
        <v>Total</v>
      </c>
      <c r="AQ31" s="134">
        <f ca="1">Calculations!N41</f>
        <v>2750</v>
      </c>
      <c r="AR31" s="145"/>
    </row>
    <row r="32" spans="3:44" x14ac:dyDescent="0.3">
      <c r="C32" s="5" cm="1">
        <f t="array" ref="C32">IF(C31=-1,-1,
         IF(C31&lt;income_max_row,C31+1,
           IF(C31=income_max_row,income_total_row,
                  IF(C31=income_total_row, "/1",
                          IF(C31="/1",expenses_header_row,
                                  IF(C31&lt;expenses_max_row, C31+1,
                                                   IF(C31=expenses_max_row,expenses_total_row,
                                                            IF(C31=expenses_total_row,"/2",
                                                                          IF(C31="/2",Savings_header_row,
                                                                                  IF(C31&lt;savings_max_row,C31+1,
                                                                                           IF(C31=savings_max_row,savings_total_row,
                                                                                                      -1)))))))))))</f>
        <v>39</v>
      </c>
      <c r="D32" s="6">
        <f t="shared" si="0"/>
        <v>35</v>
      </c>
      <c r="E32" s="5" cm="1">
        <f t="array" ref="E32">1*OR(row_id=income_header_row,row_id=expenses_header_row,row_id=Savings_header_row)</f>
        <v>0</v>
      </c>
      <c r="F32">
        <f t="shared" si="1"/>
        <v>1</v>
      </c>
      <c r="G32" cm="1">
        <f t="array" ref="G32">1*OR(row_id=income_total_row,row_id=expenses_total_row,row_id=savings_total_row)</f>
        <v>0</v>
      </c>
      <c r="H32" s="6">
        <f t="shared" si="2"/>
        <v>0</v>
      </c>
      <c r="I32" s="5" t="str" cm="1">
        <f t="array" ref="I32">IFERROR(INDEX(Budget_Planning!$C:$C,header_row_id), " ")</f>
        <v>Savings</v>
      </c>
      <c r="J32" t="str" cm="1">
        <f t="array" ref="J32">IFERROR(INDEX(Budget_Planning!$C:$C,row_id), " ")</f>
        <v>Sinking Fund</v>
      </c>
      <c r="K32" s="97" cm="1">
        <f t="array" ref="K32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250</v>
      </c>
      <c r="L32" s="98" cm="1">
        <f t="array" ref="L32">IF(OR(is_header,is_empty),"",
                INDEX(Budget_Planning!$E:$DY,row_id,
                       MATCH(IF(Selected_period="Total Year",Selected_Year,DATE(Selected_Year,Selected_period,1)), Budget_Planning!$E$9:$DY$9, 0)))</f>
        <v>10200</v>
      </c>
      <c r="M32" s="5" cm="1">
        <f t="array" ref="M32">IF(is_cat,
        IF(header_row_id=income_header_row, MATCH(income_min_row,$C:$C,0),
           IF(header_row_id=expenses_header_row,MATCH(expenses_min_row,$C:$C,0),
             IF(header_row_id=Savings_header_row,MATCH(savings_min_row,$C:$C,0),""))), "")</f>
        <v>29</v>
      </c>
      <c r="N32" s="6" cm="1">
        <f t="array" ref="N32">IF(is_cat,
        IF(header_row_id=income_header_row, MATCH(income_max_row,$C:$C,0),
           IF(header_row_id=expenses_header_row,MATCH(expenses_max_row,$C:$C,0),
             IF(header_row_id=Savings_header_row,MATCH(savings_max_row,$C:$C,0),""))), "")</f>
        <v>33</v>
      </c>
      <c r="O32" s="5" t="str">
        <f t="shared" si="3"/>
        <v>$K$29:$K$33</v>
      </c>
      <c r="P32">
        <f t="shared" ca="1" si="4"/>
        <v>4</v>
      </c>
      <c r="Q32" t="str">
        <f t="shared" si="5"/>
        <v>$L$29:$L$33</v>
      </c>
      <c r="R32" s="6">
        <f t="shared" ca="1" si="6"/>
        <v>1</v>
      </c>
      <c r="S32" s="5">
        <f t="shared" ca="1" si="7"/>
        <v>41</v>
      </c>
      <c r="T32" t="str">
        <f t="shared" si="17"/>
        <v>$S$29:$S$33</v>
      </c>
      <c r="U32">
        <f t="shared" ca="1" si="8"/>
        <v>4</v>
      </c>
      <c r="V32" t="str">
        <f t="shared" si="9"/>
        <v>$U$29:$U$32</v>
      </c>
      <c r="W32" s="6">
        <f t="shared" ca="1" si="10"/>
        <v>4</v>
      </c>
      <c r="X32" s="102">
        <f t="shared" ca="1" si="11"/>
        <v>39</v>
      </c>
      <c r="Y32" s="105" t="str">
        <f t="shared" ca="1" si="12"/>
        <v>Sinking Fund</v>
      </c>
      <c r="Z32" s="107">
        <f t="shared" ca="1" si="13"/>
        <v>250</v>
      </c>
      <c r="AA32" s="107">
        <f t="shared" ca="1" si="14"/>
        <v>10200</v>
      </c>
      <c r="AB32" s="106">
        <f t="shared" ca="1" si="15"/>
        <v>2.4509803921568627E-2</v>
      </c>
      <c r="AC32" s="107">
        <f t="shared" ca="1" si="18"/>
        <v>9950</v>
      </c>
      <c r="AD32" s="107">
        <f t="shared" ca="1" si="16"/>
        <v>0</v>
      </c>
      <c r="AF32" s="144"/>
      <c r="AK32" s="145"/>
      <c r="AM32" s="144"/>
      <c r="AR32" s="145"/>
    </row>
    <row r="33" spans="3:44" x14ac:dyDescent="0.3">
      <c r="C33" s="5" cm="1">
        <f t="array" ref="C33">IF(C32=-1,-1,
         IF(C32&lt;income_max_row,C32+1,
           IF(C32=income_max_row,income_total_row,
                  IF(C32=income_total_row, "/1",
                          IF(C32="/1",expenses_header_row,
                                  IF(C32&lt;expenses_max_row, C32+1,
                                                   IF(C32=expenses_max_row,expenses_total_row,
                                                            IF(C32=expenses_total_row,"/2",
                                                                          IF(C32="/2",Savings_header_row,
                                                                                  IF(C32&lt;savings_max_row,C32+1,
                                                                                           IF(C32=savings_max_row,savings_total_row,
                                                                                                      -1)))))))))))</f>
        <v>40</v>
      </c>
      <c r="D33" s="6">
        <f t="shared" si="0"/>
        <v>35</v>
      </c>
      <c r="E33" s="5" cm="1">
        <f t="array" ref="E33">1*OR(row_id=income_header_row,row_id=expenses_header_row,row_id=Savings_header_row)</f>
        <v>0</v>
      </c>
      <c r="F33">
        <f t="shared" si="1"/>
        <v>1</v>
      </c>
      <c r="G33" cm="1">
        <f t="array" ref="G33">1*OR(row_id=income_total_row,row_id=expenses_total_row,row_id=savings_total_row)</f>
        <v>0</v>
      </c>
      <c r="H33" s="6">
        <f t="shared" si="2"/>
        <v>0</v>
      </c>
      <c r="I33" s="5" t="str" cm="1">
        <f t="array" ref="I33">IFERROR(INDEX(Budget_Planning!$C:$C,header_row_id), " ")</f>
        <v>Savings</v>
      </c>
      <c r="J33" t="str" cm="1">
        <f t="array" ref="J33">IFERROR(INDEX(Budget_Planning!$C:$C,row_id), " ")</f>
        <v>Sinking fund rest</v>
      </c>
      <c r="K33" s="97" cm="1">
        <f t="array" ref="K33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250</v>
      </c>
      <c r="L33" s="98" cm="1">
        <f t="array" ref="L33">IF(OR(is_header,is_empty),"",
                INDEX(Budget_Planning!$E:$DY,row_id,
                       MATCH(IF(Selected_period="Total Year",Selected_Year,DATE(Selected_Year,Selected_period,1)), Budget_Planning!$E$9:$DY$9, 0)))</f>
        <v>1200</v>
      </c>
      <c r="M33" s="5" cm="1">
        <f t="array" ref="M33">IF(is_cat,
        IF(header_row_id=income_header_row, MATCH(income_min_row,$C:$C,0),
           IF(header_row_id=expenses_header_row,MATCH(expenses_min_row,$C:$C,0),
             IF(header_row_id=Savings_header_row,MATCH(savings_min_row,$C:$C,0),""))), "")</f>
        <v>29</v>
      </c>
      <c r="N33" s="6" cm="1">
        <f t="array" ref="N33">IF(is_cat,
        IF(header_row_id=income_header_row, MATCH(income_max_row,$C:$C,0),
           IF(header_row_id=expenses_header_row,MATCH(expenses_max_row,$C:$C,0),
             IF(header_row_id=Savings_header_row,MATCH(savings_max_row,$C:$C,0),""))), "")</f>
        <v>33</v>
      </c>
      <c r="O33" s="5" t="str">
        <f t="shared" si="3"/>
        <v>$K$29:$K$33</v>
      </c>
      <c r="P33">
        <f t="shared" ca="1" si="4"/>
        <v>4</v>
      </c>
      <c r="Q33" t="str">
        <f t="shared" si="5"/>
        <v>$L$29:$L$33</v>
      </c>
      <c r="R33" s="6">
        <f t="shared" ca="1" si="6"/>
        <v>5</v>
      </c>
      <c r="S33" s="5">
        <f t="shared" ca="1" si="7"/>
        <v>45</v>
      </c>
      <c r="T33" t="str">
        <f t="shared" si="17"/>
        <v>$S$29:$S$33</v>
      </c>
      <c r="U33">
        <f t="shared" ca="1" si="8"/>
        <v>5</v>
      </c>
      <c r="V33" t="str">
        <f t="shared" si="9"/>
        <v>$U$29:$U$33</v>
      </c>
      <c r="W33" s="6">
        <f t="shared" ca="1" si="10"/>
        <v>5</v>
      </c>
      <c r="X33" s="102">
        <f t="shared" ca="1" si="11"/>
        <v>40</v>
      </c>
      <c r="Y33" s="105" t="str">
        <f t="shared" ca="1" si="12"/>
        <v>Sinking fund rest</v>
      </c>
      <c r="Z33" s="107">
        <f t="shared" ca="1" si="13"/>
        <v>250</v>
      </c>
      <c r="AA33" s="107">
        <f t="shared" ca="1" si="14"/>
        <v>1200</v>
      </c>
      <c r="AB33" s="106">
        <f t="shared" ca="1" si="15"/>
        <v>0.20833333333333334</v>
      </c>
      <c r="AC33" s="107">
        <f t="shared" ca="1" si="18"/>
        <v>950</v>
      </c>
      <c r="AD33" s="107">
        <f t="shared" ca="1" si="16"/>
        <v>0</v>
      </c>
      <c r="AF33" s="144"/>
      <c r="AH33" s="48"/>
      <c r="AK33" s="145"/>
      <c r="AM33" s="144"/>
      <c r="AO33" s="48"/>
      <c r="AR33" s="145"/>
    </row>
    <row r="34" spans="3:44" ht="15" thickBot="1" x14ac:dyDescent="0.35">
      <c r="C34" s="5" cm="1">
        <f t="array" ref="C34">IF(C33=-1,-1,
         IF(C33&lt;income_max_row,C33+1,
           IF(C33=income_max_row,income_total_row,
                  IF(C33=income_total_row, "/1",
                          IF(C33="/1",expenses_header_row,
                                  IF(C33&lt;expenses_max_row, C33+1,
                                                   IF(C33=expenses_max_row,expenses_total_row,
                                                            IF(C33=expenses_total_row,"/2",
                                                                          IF(C33="/2",Savings_header_row,
                                                                                  IF(C33&lt;savings_max_row,C33+1,
                                                                                           IF(C33=savings_max_row,savings_total_row,
                                                                                                      -1)))))))))))</f>
        <v>46</v>
      </c>
      <c r="D34" s="6">
        <f t="shared" si="0"/>
        <v>35</v>
      </c>
      <c r="E34" s="5" cm="1">
        <f t="array" ref="E34">1*OR(row_id=income_header_row,row_id=expenses_header_row,row_id=Savings_header_row)</f>
        <v>0</v>
      </c>
      <c r="F34">
        <f t="shared" si="1"/>
        <v>0</v>
      </c>
      <c r="G34" cm="1">
        <f t="array" ref="G34">1*OR(row_id=income_total_row,row_id=expenses_total_row,row_id=savings_total_row)</f>
        <v>1</v>
      </c>
      <c r="H34" s="6">
        <f t="shared" si="2"/>
        <v>0</v>
      </c>
      <c r="I34" s="5" t="str" cm="1">
        <f t="array" ref="I34">IFERROR(INDEX(Budget_Planning!$C:$C,header_row_id), " ")</f>
        <v>Savings</v>
      </c>
      <c r="J34" t="str" cm="1">
        <f t="array" ref="J34">IFERROR(INDEX(Budget_Planning!$C:$C,row_id), " ")</f>
        <v>Total</v>
      </c>
      <c r="K34" s="97" cm="1">
        <f t="array" ref="K34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>2750</v>
      </c>
      <c r="L34" s="98" cm="1">
        <f t="array" aca="1" ref="L34" ca="1">IF(OR(is_header,is_empty),"",
                INDEX(Budget_Planning!$E:$DY,row_id,
                       MATCH(IF(Selected_period="Total Year",Selected_Year,DATE(Selected_Year,Selected_period,1)), Budget_Planning!$E$9:$DY$9, 0)))</f>
        <v>26400</v>
      </c>
      <c r="M34" s="5" t="str" cm="1">
        <f t="array" ref="M34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34" s="6" t="str" cm="1">
        <f t="array" ref="N34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34" s="5" t="str">
        <f t="shared" si="3"/>
        <v/>
      </c>
      <c r="P34" t="str">
        <f t="shared" ca="1" si="4"/>
        <v/>
      </c>
      <c r="Q34" t="str">
        <f t="shared" si="5"/>
        <v/>
      </c>
      <c r="R34" s="6" t="str">
        <f t="shared" ca="1" si="6"/>
        <v/>
      </c>
      <c r="S34" s="5" t="str">
        <f t="shared" si="7"/>
        <v/>
      </c>
      <c r="T34" t="str">
        <f t="shared" si="17"/>
        <v/>
      </c>
      <c r="U34" t="str">
        <f t="shared" ca="1" si="8"/>
        <v/>
      </c>
      <c r="V34" t="str">
        <f t="shared" si="9"/>
        <v/>
      </c>
      <c r="W34" s="6" t="str">
        <f t="shared" ca="1" si="10"/>
        <v/>
      </c>
      <c r="X34" s="102">
        <f t="shared" si="11"/>
        <v>46</v>
      </c>
      <c r="Y34" s="105" t="str">
        <f t="shared" ca="1" si="12"/>
        <v>Total</v>
      </c>
      <c r="Z34" s="107">
        <f t="shared" ca="1" si="13"/>
        <v>2750</v>
      </c>
      <c r="AA34" s="107">
        <f t="shared" ca="1" si="14"/>
        <v>26400</v>
      </c>
      <c r="AB34" s="106">
        <f t="shared" ca="1" si="15"/>
        <v>0.10416666666666667</v>
      </c>
      <c r="AC34" s="107">
        <f t="shared" ca="1" si="18"/>
        <v>23650</v>
      </c>
      <c r="AD34" s="107">
        <f t="shared" ca="1" si="16"/>
        <v>0</v>
      </c>
      <c r="AF34" s="147"/>
      <c r="AG34" s="148"/>
      <c r="AH34" s="148"/>
      <c r="AI34" s="148"/>
      <c r="AJ34" s="148"/>
      <c r="AK34" s="149"/>
      <c r="AM34" s="147"/>
      <c r="AN34" s="148"/>
      <c r="AO34" s="148"/>
      <c r="AP34" s="148"/>
      <c r="AQ34" s="148"/>
      <c r="AR34" s="149"/>
    </row>
    <row r="35" spans="3:44" x14ac:dyDescent="0.3">
      <c r="C35" s="5" cm="1">
        <f t="array" ref="C35">IF(C34=-1,-1,
         IF(C34&lt;income_max_row,C34+1,
           IF(C34=income_max_row,income_total_row,
                  IF(C34=income_total_row, "/1",
                          IF(C34="/1",expenses_header_row,
                                  IF(C34&lt;expenses_max_row, C34+1,
                                                   IF(C34=expenses_max_row,expenses_total_row,
                                                            IF(C34=expenses_total_row,"/2",
                                                                          IF(C34="/2",Savings_header_row,
                                                                                  IF(C34&lt;savings_max_row,C34+1,
                                                                                           IF(C34=savings_max_row,savings_total_row,
                                                                                                      -1)))))))))))</f>
        <v>-1</v>
      </c>
      <c r="D35" s="6">
        <f t="shared" si="0"/>
        <v>-1</v>
      </c>
      <c r="E35" s="5" cm="1">
        <f t="array" ref="E35">1*OR(row_id=income_header_row,row_id=expenses_header_row,row_id=Savings_header_row)</f>
        <v>0</v>
      </c>
      <c r="F35">
        <f t="shared" si="1"/>
        <v>0</v>
      </c>
      <c r="G35" cm="1">
        <f t="array" ref="G35">1*OR(row_id=income_total_row,row_id=expenses_total_row,row_id=savings_total_row)</f>
        <v>0</v>
      </c>
      <c r="H35" s="6">
        <f t="shared" si="2"/>
        <v>1</v>
      </c>
      <c r="I35" s="5" t="str" cm="1">
        <f t="array" ref="I35">IFERROR(INDEX(Budget_Planning!$C:$C,header_row_id), " ")</f>
        <v xml:space="preserve"> </v>
      </c>
      <c r="J35" t="str" cm="1">
        <f t="array" ref="J35">IFERROR(INDEX(Budget_Planning!$C:$C,row_id), " ")</f>
        <v xml:space="preserve"> </v>
      </c>
      <c r="K35" s="97" t="str" cm="1">
        <f t="array" ref="K35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35" s="98" t="str" cm="1">
        <f t="array" ref="L35">IF(OR(is_header,is_empty),"",
                INDEX(Budget_Planning!$E:$DY,row_id,
                       MATCH(IF(Selected_period="Total Year",Selected_Year,DATE(Selected_Year,Selected_period,1)), Budget_Planning!$E$9:$DY$9, 0)))</f>
        <v/>
      </c>
      <c r="M35" s="5" t="str" cm="1">
        <f t="array" ref="M35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35" s="6" t="str" cm="1">
        <f t="array" ref="N35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35" s="5" t="str">
        <f t="shared" si="3"/>
        <v/>
      </c>
      <c r="P35" t="str">
        <f t="shared" ca="1" si="4"/>
        <v/>
      </c>
      <c r="Q35" t="str">
        <f t="shared" si="5"/>
        <v/>
      </c>
      <c r="R35" s="6" t="str">
        <f t="shared" ca="1" si="6"/>
        <v/>
      </c>
      <c r="S35" s="5" t="str">
        <f t="shared" si="7"/>
        <v/>
      </c>
      <c r="T35" t="str">
        <f t="shared" si="17"/>
        <v/>
      </c>
      <c r="U35" t="str">
        <f t="shared" ca="1" si="8"/>
        <v/>
      </c>
      <c r="V35" t="str">
        <f t="shared" si="9"/>
        <v/>
      </c>
      <c r="W35" s="6" t="str">
        <f t="shared" ca="1" si="10"/>
        <v/>
      </c>
      <c r="X35" s="102">
        <f t="shared" si="11"/>
        <v>-1</v>
      </c>
      <c r="Y35" t="str">
        <f t="shared" si="12"/>
        <v/>
      </c>
      <c r="Z35" t="str">
        <f t="shared" si="13"/>
        <v/>
      </c>
      <c r="AA35" t="str">
        <f t="shared" si="14"/>
        <v/>
      </c>
      <c r="AB35" s="104" t="str">
        <f t="shared" si="15"/>
        <v/>
      </c>
      <c r="AC35" t="str">
        <f t="shared" si="18"/>
        <v/>
      </c>
      <c r="AD35" t="str">
        <f t="shared" si="16"/>
        <v/>
      </c>
    </row>
    <row r="36" spans="3:44" x14ac:dyDescent="0.3">
      <c r="C36" s="5" cm="1">
        <f t="array" ref="C36">IF(C35=-1,-1,
         IF(C35&lt;income_max_row,C35+1,
           IF(C35=income_max_row,income_total_row,
                  IF(C35=income_total_row, "/1",
                          IF(C35="/1",expenses_header_row,
                                  IF(C35&lt;expenses_max_row, C35+1,
                                                   IF(C35=expenses_max_row,expenses_total_row,
                                                            IF(C35=expenses_total_row,"/2",
                                                                          IF(C35="/2",Savings_header_row,
                                                                                  IF(C35&lt;savings_max_row,C35+1,
                                                                                           IF(C35=savings_max_row,savings_total_row,
                                                                                                      -1)))))))))))</f>
        <v>-1</v>
      </c>
      <c r="D36" s="6">
        <f t="shared" si="0"/>
        <v>-1</v>
      </c>
      <c r="E36" s="5" cm="1">
        <f t="array" ref="E36">1*OR(row_id=income_header_row,row_id=expenses_header_row,row_id=Savings_header_row)</f>
        <v>0</v>
      </c>
      <c r="F36">
        <f t="shared" si="1"/>
        <v>0</v>
      </c>
      <c r="G36" cm="1">
        <f t="array" ref="G36">1*OR(row_id=income_total_row,row_id=expenses_total_row,row_id=savings_total_row)</f>
        <v>0</v>
      </c>
      <c r="H36" s="6">
        <f t="shared" si="2"/>
        <v>1</v>
      </c>
      <c r="I36" s="5" t="str" cm="1">
        <f t="array" ref="I36">IFERROR(INDEX(Budget_Planning!$C:$C,header_row_id), " ")</f>
        <v xml:space="preserve"> </v>
      </c>
      <c r="J36" t="str" cm="1">
        <f t="array" ref="J36">IFERROR(INDEX(Budget_Planning!$C:$C,row_id), " ")</f>
        <v xml:space="preserve"> </v>
      </c>
      <c r="K36" s="97" t="str" cm="1">
        <f t="array" ref="K36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36" s="98" t="str" cm="1">
        <f t="array" ref="L36">IF(OR(is_header,is_empty),"",
                INDEX(Budget_Planning!$E:$DY,row_id,
                       MATCH(IF(Selected_period="Total Year",Selected_Year,DATE(Selected_Year,Selected_period,1)), Budget_Planning!$E$9:$DY$9, 0)))</f>
        <v/>
      </c>
      <c r="M36" s="5" t="str" cm="1">
        <f t="array" ref="M36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36" s="6" t="str" cm="1">
        <f t="array" ref="N36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36" s="5" t="str">
        <f t="shared" si="3"/>
        <v/>
      </c>
      <c r="P36" t="str">
        <f t="shared" ca="1" si="4"/>
        <v/>
      </c>
      <c r="Q36" t="str">
        <f t="shared" si="5"/>
        <v/>
      </c>
      <c r="R36" s="6" t="str">
        <f t="shared" ca="1" si="6"/>
        <v/>
      </c>
      <c r="S36" s="5" t="str">
        <f t="shared" si="7"/>
        <v/>
      </c>
      <c r="T36" t="str">
        <f t="shared" si="17"/>
        <v/>
      </c>
      <c r="U36" t="str">
        <f t="shared" ca="1" si="8"/>
        <v/>
      </c>
      <c r="V36" t="str">
        <f t="shared" si="9"/>
        <v/>
      </c>
      <c r="W36" s="6" t="str">
        <f t="shared" ca="1" si="10"/>
        <v/>
      </c>
      <c r="X36" s="102">
        <f t="shared" si="11"/>
        <v>-1</v>
      </c>
      <c r="Y36" t="str">
        <f t="shared" si="12"/>
        <v/>
      </c>
      <c r="Z36" t="str">
        <f t="shared" si="13"/>
        <v/>
      </c>
      <c r="AA36" t="str">
        <f t="shared" si="14"/>
        <v/>
      </c>
      <c r="AB36" s="104" t="str">
        <f t="shared" si="15"/>
        <v/>
      </c>
      <c r="AC36" t="str">
        <f t="shared" si="18"/>
        <v/>
      </c>
      <c r="AD36" t="str">
        <f t="shared" si="16"/>
        <v/>
      </c>
    </row>
    <row r="37" spans="3:44" x14ac:dyDescent="0.3">
      <c r="C37" s="5" cm="1">
        <f t="array" ref="C37">IF(C36=-1,-1,
         IF(C36&lt;income_max_row,C36+1,
           IF(C36=income_max_row,income_total_row,
                  IF(C36=income_total_row, "/1",
                          IF(C36="/1",expenses_header_row,
                                  IF(C36&lt;expenses_max_row, C36+1,
                                                   IF(C36=expenses_max_row,expenses_total_row,
                                                            IF(C36=expenses_total_row,"/2",
                                                                          IF(C36="/2",Savings_header_row,
                                                                                  IF(C36&lt;savings_max_row,C36+1,
                                                                                           IF(C36=savings_max_row,savings_total_row,
                                                                                                      -1)))))))))))</f>
        <v>-1</v>
      </c>
      <c r="D37" s="6">
        <f t="shared" si="0"/>
        <v>-1</v>
      </c>
      <c r="E37" s="5" cm="1">
        <f t="array" ref="E37">1*OR(row_id=income_header_row,row_id=expenses_header_row,row_id=Savings_header_row)</f>
        <v>0</v>
      </c>
      <c r="F37">
        <f t="shared" si="1"/>
        <v>0</v>
      </c>
      <c r="G37" cm="1">
        <f t="array" ref="G37">1*OR(row_id=income_total_row,row_id=expenses_total_row,row_id=savings_total_row)</f>
        <v>0</v>
      </c>
      <c r="H37" s="6">
        <f t="shared" si="2"/>
        <v>1</v>
      </c>
      <c r="I37" s="5" t="str" cm="1">
        <f t="array" ref="I37">IFERROR(INDEX(Budget_Planning!$C:$C,header_row_id), " ")</f>
        <v xml:space="preserve"> </v>
      </c>
      <c r="J37" t="str" cm="1">
        <f t="array" ref="J37">IFERROR(INDEX(Budget_Planning!$C:$C,row_id), " ")</f>
        <v xml:space="preserve"> </v>
      </c>
      <c r="K37" s="97" t="str" cm="1">
        <f t="array" ref="K37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37" s="98" t="str" cm="1">
        <f t="array" ref="L37">IF(OR(is_header,is_empty),"",
                INDEX(Budget_Planning!$E:$DY,row_id,
                       MATCH(IF(Selected_period="Total Year",Selected_Year,DATE(Selected_Year,Selected_period,1)), Budget_Planning!$E$9:$DY$9, 0)))</f>
        <v/>
      </c>
      <c r="M37" s="5" t="str" cm="1">
        <f t="array" ref="M37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37" s="6" t="str" cm="1">
        <f t="array" ref="N37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37" s="5" t="str">
        <f t="shared" si="3"/>
        <v/>
      </c>
      <c r="P37" t="str">
        <f t="shared" ca="1" si="4"/>
        <v/>
      </c>
      <c r="Q37" t="str">
        <f t="shared" si="5"/>
        <v/>
      </c>
      <c r="R37" s="6" t="str">
        <f t="shared" ca="1" si="6"/>
        <v/>
      </c>
      <c r="S37" s="5" t="str">
        <f t="shared" si="7"/>
        <v/>
      </c>
      <c r="T37" t="str">
        <f t="shared" si="17"/>
        <v/>
      </c>
      <c r="U37" t="str">
        <f t="shared" ca="1" si="8"/>
        <v/>
      </c>
      <c r="V37" t="str">
        <f t="shared" si="9"/>
        <v/>
      </c>
      <c r="W37" s="6" t="str">
        <f t="shared" ca="1" si="10"/>
        <v/>
      </c>
      <c r="X37" s="102">
        <f t="shared" si="11"/>
        <v>-1</v>
      </c>
      <c r="Y37" t="str">
        <f t="shared" si="12"/>
        <v/>
      </c>
      <c r="Z37" t="str">
        <f t="shared" si="13"/>
        <v/>
      </c>
      <c r="AA37" t="str">
        <f t="shared" si="14"/>
        <v/>
      </c>
      <c r="AB37" s="104" t="str">
        <f t="shared" si="15"/>
        <v/>
      </c>
      <c r="AC37" t="str">
        <f t="shared" si="18"/>
        <v/>
      </c>
      <c r="AD37" t="str">
        <f t="shared" si="16"/>
        <v/>
      </c>
    </row>
    <row r="38" spans="3:44" x14ac:dyDescent="0.3">
      <c r="C38" s="5" cm="1">
        <f t="array" ref="C38">IF(C37=-1,-1,
         IF(C37&lt;income_max_row,C37+1,
           IF(C37=income_max_row,income_total_row,
                  IF(C37=income_total_row, "/1",
                          IF(C37="/1",expenses_header_row,
                                  IF(C37&lt;expenses_max_row, C37+1,
                                                   IF(C37=expenses_max_row,expenses_total_row,
                                                            IF(C37=expenses_total_row,"/2",
                                                                          IF(C37="/2",Savings_header_row,
                                                                                  IF(C37&lt;savings_max_row,C37+1,
                                                                                           IF(C37=savings_max_row,savings_total_row,
                                                                                                      -1)))))))))))</f>
        <v>-1</v>
      </c>
      <c r="D38" s="6">
        <f t="shared" si="0"/>
        <v>-1</v>
      </c>
      <c r="E38" s="5" cm="1">
        <f t="array" ref="E38">1*OR(row_id=income_header_row,row_id=expenses_header_row,row_id=Savings_header_row)</f>
        <v>0</v>
      </c>
      <c r="F38">
        <f t="shared" si="1"/>
        <v>0</v>
      </c>
      <c r="G38" cm="1">
        <f t="array" ref="G38">1*OR(row_id=income_total_row,row_id=expenses_total_row,row_id=savings_total_row)</f>
        <v>0</v>
      </c>
      <c r="H38" s="6">
        <f t="shared" si="2"/>
        <v>1</v>
      </c>
      <c r="I38" s="5" t="str" cm="1">
        <f t="array" ref="I38">IFERROR(INDEX(Budget_Planning!$C:$C,header_row_id), " ")</f>
        <v xml:space="preserve"> </v>
      </c>
      <c r="J38" t="str" cm="1">
        <f t="array" ref="J38">IFERROR(INDEX(Budget_Planning!$C:$C,row_id), " ")</f>
        <v xml:space="preserve"> </v>
      </c>
      <c r="K38" s="97" t="str" cm="1">
        <f t="array" ref="K38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38" s="98" t="str" cm="1">
        <f t="array" ref="L38">IF(OR(is_header,is_empty),"",
                INDEX(Budget_Planning!$E:$DY,row_id,
                       MATCH(IF(Selected_period="Total Year",Selected_Year,DATE(Selected_Year,Selected_period,1)), Budget_Planning!$E$9:$DY$9, 0)))</f>
        <v/>
      </c>
      <c r="M38" s="5" t="str" cm="1">
        <f t="array" ref="M38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38" s="6" t="str" cm="1">
        <f t="array" ref="N38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38" s="5" t="str">
        <f t="shared" si="3"/>
        <v/>
      </c>
      <c r="P38" t="str">
        <f t="shared" ca="1" si="4"/>
        <v/>
      </c>
      <c r="Q38" t="str">
        <f t="shared" si="5"/>
        <v/>
      </c>
      <c r="R38" s="6" t="str">
        <f t="shared" ca="1" si="6"/>
        <v/>
      </c>
      <c r="S38" s="5" t="str">
        <f t="shared" si="7"/>
        <v/>
      </c>
      <c r="T38" t="str">
        <f t="shared" si="17"/>
        <v/>
      </c>
      <c r="U38" t="str">
        <f t="shared" ca="1" si="8"/>
        <v/>
      </c>
      <c r="V38" t="str">
        <f t="shared" si="9"/>
        <v/>
      </c>
      <c r="W38" s="6" t="str">
        <f t="shared" ca="1" si="10"/>
        <v/>
      </c>
      <c r="X38" s="102">
        <f t="shared" si="11"/>
        <v>-1</v>
      </c>
      <c r="Y38" t="str">
        <f t="shared" si="12"/>
        <v/>
      </c>
      <c r="Z38" t="str">
        <f t="shared" si="13"/>
        <v/>
      </c>
      <c r="AA38" t="str">
        <f t="shared" si="14"/>
        <v/>
      </c>
      <c r="AB38" s="104" t="str">
        <f t="shared" si="15"/>
        <v/>
      </c>
      <c r="AC38" t="str">
        <f t="shared" si="18"/>
        <v/>
      </c>
      <c r="AD38" t="str">
        <f t="shared" si="16"/>
        <v/>
      </c>
    </row>
    <row r="39" spans="3:44" x14ac:dyDescent="0.3">
      <c r="C39" s="5" cm="1">
        <f t="array" ref="C39">IF(C38=-1,-1,
         IF(C38&lt;income_max_row,C38+1,
           IF(C38=income_max_row,income_total_row,
                  IF(C38=income_total_row, "/1",
                          IF(C38="/1",expenses_header_row,
                                  IF(C38&lt;expenses_max_row, C38+1,
                                                   IF(C38=expenses_max_row,expenses_total_row,
                                                            IF(C38=expenses_total_row,"/2",
                                                                          IF(C38="/2",Savings_header_row,
                                                                                  IF(C38&lt;savings_max_row,C38+1,
                                                                                           IF(C38=savings_max_row,savings_total_row,
                                                                                                      -1)))))))))))</f>
        <v>-1</v>
      </c>
      <c r="D39" s="6">
        <f t="shared" si="0"/>
        <v>-1</v>
      </c>
      <c r="E39" s="5" cm="1">
        <f t="array" ref="E39">1*OR(row_id=income_header_row,row_id=expenses_header_row,row_id=Savings_header_row)</f>
        <v>0</v>
      </c>
      <c r="F39">
        <f t="shared" si="1"/>
        <v>0</v>
      </c>
      <c r="G39" cm="1">
        <f t="array" ref="G39">1*OR(row_id=income_total_row,row_id=expenses_total_row,row_id=savings_total_row)</f>
        <v>0</v>
      </c>
      <c r="H39" s="6">
        <f t="shared" si="2"/>
        <v>1</v>
      </c>
      <c r="I39" s="5" t="str" cm="1">
        <f t="array" ref="I39">IFERROR(INDEX(Budget_Planning!$C:$C,header_row_id), " ")</f>
        <v xml:space="preserve"> </v>
      </c>
      <c r="J39" t="str" cm="1">
        <f t="array" ref="J39">IFERROR(INDEX(Budget_Planning!$C:$C,row_id), " ")</f>
        <v xml:space="preserve"> </v>
      </c>
      <c r="K39" s="97" t="str" cm="1">
        <f t="array" ref="K39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39" s="98" t="str" cm="1">
        <f t="array" ref="L39">IF(OR(is_header,is_empty),"",
                INDEX(Budget_Planning!$E:$DY,row_id,
                       MATCH(IF(Selected_period="Total Year",Selected_Year,DATE(Selected_Year,Selected_period,1)), Budget_Planning!$E$9:$DY$9, 0)))</f>
        <v/>
      </c>
      <c r="M39" s="5" t="str" cm="1">
        <f t="array" ref="M39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39" s="6" t="str" cm="1">
        <f t="array" ref="N39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39" s="5" t="str">
        <f t="shared" si="3"/>
        <v/>
      </c>
      <c r="P39" t="str">
        <f t="shared" ca="1" si="4"/>
        <v/>
      </c>
      <c r="Q39" t="str">
        <f t="shared" si="5"/>
        <v/>
      </c>
      <c r="R39" s="6" t="str">
        <f t="shared" ca="1" si="6"/>
        <v/>
      </c>
      <c r="S39" s="5" t="str">
        <f t="shared" si="7"/>
        <v/>
      </c>
      <c r="T39" t="str">
        <f t="shared" si="17"/>
        <v/>
      </c>
      <c r="U39" t="str">
        <f t="shared" ca="1" si="8"/>
        <v/>
      </c>
      <c r="V39" t="str">
        <f t="shared" si="9"/>
        <v/>
      </c>
      <c r="W39" s="6" t="str">
        <f t="shared" ca="1" si="10"/>
        <v/>
      </c>
      <c r="X39" s="102">
        <f t="shared" si="11"/>
        <v>-1</v>
      </c>
      <c r="Y39" t="str">
        <f t="shared" si="12"/>
        <v/>
      </c>
      <c r="Z39" t="str">
        <f t="shared" si="13"/>
        <v/>
      </c>
      <c r="AA39" t="str">
        <f t="shared" si="14"/>
        <v/>
      </c>
      <c r="AB39" s="104" t="str">
        <f t="shared" si="15"/>
        <v/>
      </c>
      <c r="AC39" t="str">
        <f t="shared" si="18"/>
        <v/>
      </c>
      <c r="AD39" t="str">
        <f t="shared" si="16"/>
        <v/>
      </c>
    </row>
    <row r="40" spans="3:44" x14ac:dyDescent="0.3">
      <c r="C40" s="5" cm="1">
        <f t="array" ref="C40">IF(C39=-1,-1,
         IF(C39&lt;income_max_row,C39+1,
           IF(C39=income_max_row,income_total_row,
                  IF(C39=income_total_row, "/1",
                          IF(C39="/1",expenses_header_row,
                                  IF(C39&lt;expenses_max_row, C39+1,
                                                   IF(C39=expenses_max_row,expenses_total_row,
                                                            IF(C39=expenses_total_row,"/2",
                                                                          IF(C39="/2",Savings_header_row,
                                                                                  IF(C39&lt;savings_max_row,C39+1,
                                                                                           IF(C39=savings_max_row,savings_total_row,
                                                                                                      -1)))))))))))</f>
        <v>-1</v>
      </c>
      <c r="D40" s="6">
        <f t="shared" si="0"/>
        <v>-1</v>
      </c>
      <c r="E40" s="5" cm="1">
        <f t="array" ref="E40">1*OR(row_id=income_header_row,row_id=expenses_header_row,row_id=Savings_header_row)</f>
        <v>0</v>
      </c>
      <c r="F40">
        <f t="shared" si="1"/>
        <v>0</v>
      </c>
      <c r="G40" cm="1">
        <f t="array" ref="G40">1*OR(row_id=income_total_row,row_id=expenses_total_row,row_id=savings_total_row)</f>
        <v>0</v>
      </c>
      <c r="H40" s="6">
        <f t="shared" si="2"/>
        <v>1</v>
      </c>
      <c r="I40" s="5" t="str" cm="1">
        <f t="array" ref="I40">IFERROR(INDEX(Budget_Planning!$C:$C,header_row_id), " ")</f>
        <v xml:space="preserve"> </v>
      </c>
      <c r="J40" t="str" cm="1">
        <f t="array" ref="J40">IFERROR(INDEX(Budget_Planning!$C:$C,row_id), " ")</f>
        <v xml:space="preserve"> </v>
      </c>
      <c r="K40" s="97" t="str" cm="1">
        <f t="array" ref="K40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40" s="98" t="str" cm="1">
        <f t="array" ref="L40">IF(OR(is_header,is_empty),"",
                INDEX(Budget_Planning!$E:$DY,row_id,
                       MATCH(IF(Selected_period="Total Year",Selected_Year,DATE(Selected_Year,Selected_period,1)), Budget_Planning!$E$9:$DY$9, 0)))</f>
        <v/>
      </c>
      <c r="M40" s="5" t="str" cm="1">
        <f t="array" ref="M40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40" s="6" t="str" cm="1">
        <f t="array" ref="N40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40" s="5" t="str">
        <f t="shared" si="3"/>
        <v/>
      </c>
      <c r="P40" t="str">
        <f t="shared" ca="1" si="4"/>
        <v/>
      </c>
      <c r="Q40" t="str">
        <f t="shared" si="5"/>
        <v/>
      </c>
      <c r="R40" s="6" t="str">
        <f t="shared" ca="1" si="6"/>
        <v/>
      </c>
      <c r="S40" s="5" t="str">
        <f t="shared" si="7"/>
        <v/>
      </c>
      <c r="T40" t="str">
        <f t="shared" si="17"/>
        <v/>
      </c>
      <c r="U40" t="str">
        <f t="shared" ca="1" si="8"/>
        <v/>
      </c>
      <c r="V40" t="str">
        <f t="shared" si="9"/>
        <v/>
      </c>
      <c r="W40" s="6" t="str">
        <f t="shared" ca="1" si="10"/>
        <v/>
      </c>
      <c r="X40" s="102">
        <f t="shared" si="11"/>
        <v>-1</v>
      </c>
      <c r="Y40" t="str">
        <f t="shared" si="12"/>
        <v/>
      </c>
      <c r="Z40" t="str">
        <f t="shared" si="13"/>
        <v/>
      </c>
      <c r="AA40" t="str">
        <f t="shared" si="14"/>
        <v/>
      </c>
      <c r="AB40" s="104" t="str">
        <f t="shared" si="15"/>
        <v/>
      </c>
      <c r="AC40" t="str">
        <f t="shared" si="18"/>
        <v/>
      </c>
      <c r="AD40" t="str">
        <f t="shared" si="16"/>
        <v/>
      </c>
    </row>
    <row r="41" spans="3:44" x14ac:dyDescent="0.3">
      <c r="C41" s="5" cm="1">
        <f t="array" ref="C41">IF(C40=-1,-1,
         IF(C40&lt;income_max_row,C40+1,
           IF(C40=income_max_row,income_total_row,
                  IF(C40=income_total_row, "/1",
                          IF(C40="/1",expenses_header_row,
                                  IF(C40&lt;expenses_max_row, C40+1,
                                                   IF(C40=expenses_max_row,expenses_total_row,
                                                            IF(C40=expenses_total_row,"/2",
                                                                          IF(C40="/2",Savings_header_row,
                                                                                  IF(C40&lt;savings_max_row,C40+1,
                                                                                           IF(C40=savings_max_row,savings_total_row,
                                                                                                      -1)))))))))))</f>
        <v>-1</v>
      </c>
      <c r="D41" s="6">
        <f t="shared" si="0"/>
        <v>-1</v>
      </c>
      <c r="E41" s="5" cm="1">
        <f t="array" ref="E41">1*OR(row_id=income_header_row,row_id=expenses_header_row,row_id=Savings_header_row)</f>
        <v>0</v>
      </c>
      <c r="F41">
        <f t="shared" si="1"/>
        <v>0</v>
      </c>
      <c r="G41" cm="1">
        <f t="array" ref="G41">1*OR(row_id=income_total_row,row_id=expenses_total_row,row_id=savings_total_row)</f>
        <v>0</v>
      </c>
      <c r="H41" s="6">
        <f t="shared" si="2"/>
        <v>1</v>
      </c>
      <c r="I41" s="5" t="str" cm="1">
        <f t="array" ref="I41">IFERROR(INDEX(Budget_Planning!$C:$C,header_row_id), " ")</f>
        <v xml:space="preserve"> </v>
      </c>
      <c r="J41" t="str" cm="1">
        <f t="array" ref="J41">IFERROR(INDEX(Budget_Planning!$C:$C,row_id), " ")</f>
        <v xml:space="preserve"> </v>
      </c>
      <c r="K41" s="97" t="str" cm="1">
        <f t="array" ref="K41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41" s="98" t="str" cm="1">
        <f t="array" ref="L41">IF(OR(is_header,is_empty),"",
                INDEX(Budget_Planning!$E:$DY,row_id,
                       MATCH(IF(Selected_period="Total Year",Selected_Year,DATE(Selected_Year,Selected_period,1)), Budget_Planning!$E$9:$DY$9, 0)))</f>
        <v/>
      </c>
      <c r="M41" s="5" t="str" cm="1">
        <f t="array" ref="M41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41" s="6" t="str" cm="1">
        <f t="array" ref="N41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41" s="5" t="str">
        <f t="shared" si="3"/>
        <v/>
      </c>
      <c r="P41" t="str">
        <f t="shared" ca="1" si="4"/>
        <v/>
      </c>
      <c r="Q41" t="str">
        <f t="shared" si="5"/>
        <v/>
      </c>
      <c r="R41" s="6" t="str">
        <f t="shared" ca="1" si="6"/>
        <v/>
      </c>
      <c r="S41" s="5" t="str">
        <f t="shared" si="7"/>
        <v/>
      </c>
      <c r="T41" t="str">
        <f t="shared" si="17"/>
        <v/>
      </c>
      <c r="U41" t="str">
        <f t="shared" ca="1" si="8"/>
        <v/>
      </c>
      <c r="V41" t="str">
        <f t="shared" si="9"/>
        <v/>
      </c>
      <c r="W41" s="6" t="str">
        <f t="shared" ca="1" si="10"/>
        <v/>
      </c>
      <c r="X41" s="102">
        <f t="shared" si="11"/>
        <v>-1</v>
      </c>
      <c r="Y41" t="str">
        <f t="shared" si="12"/>
        <v/>
      </c>
      <c r="Z41" t="str">
        <f t="shared" si="13"/>
        <v/>
      </c>
      <c r="AA41" t="str">
        <f t="shared" si="14"/>
        <v/>
      </c>
      <c r="AB41" s="104" t="str">
        <f t="shared" si="15"/>
        <v/>
      </c>
      <c r="AC41" t="str">
        <f t="shared" si="18"/>
        <v/>
      </c>
      <c r="AD41" t="str">
        <f t="shared" si="16"/>
        <v/>
      </c>
    </row>
    <row r="42" spans="3:44" x14ac:dyDescent="0.3">
      <c r="C42" s="5" cm="1">
        <f t="array" ref="C42">IF(C41=-1,-1,
         IF(C41&lt;income_max_row,C41+1,
           IF(C41=income_max_row,income_total_row,
                  IF(C41=income_total_row, "/1",
                          IF(C41="/1",expenses_header_row,
                                  IF(C41&lt;expenses_max_row, C41+1,
                                                   IF(C41=expenses_max_row,expenses_total_row,
                                                            IF(C41=expenses_total_row,"/2",
                                                                          IF(C41="/2",Savings_header_row,
                                                                                  IF(C41&lt;savings_max_row,C41+1,
                                                                                           IF(C41=savings_max_row,savings_total_row,
                                                                                                      -1)))))))))))</f>
        <v>-1</v>
      </c>
      <c r="D42" s="6">
        <f t="shared" si="0"/>
        <v>-1</v>
      </c>
      <c r="E42" s="5" cm="1">
        <f t="array" ref="E42">1*OR(row_id=income_header_row,row_id=expenses_header_row,row_id=Savings_header_row)</f>
        <v>0</v>
      </c>
      <c r="F42">
        <f t="shared" si="1"/>
        <v>0</v>
      </c>
      <c r="G42" cm="1">
        <f t="array" ref="G42">1*OR(row_id=income_total_row,row_id=expenses_total_row,row_id=savings_total_row)</f>
        <v>0</v>
      </c>
      <c r="H42" s="6">
        <f t="shared" si="2"/>
        <v>1</v>
      </c>
      <c r="I42" s="5" t="str" cm="1">
        <f t="array" ref="I42">IFERROR(INDEX(Budget_Planning!$C:$C,header_row_id), " ")</f>
        <v xml:space="preserve"> </v>
      </c>
      <c r="J42" t="str" cm="1">
        <f t="array" ref="J42">IFERROR(INDEX(Budget_Planning!$C:$C,row_id), " ")</f>
        <v xml:space="preserve"> </v>
      </c>
      <c r="K42" s="97" t="str" cm="1">
        <f t="array" ref="K42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42" s="98" t="str" cm="1">
        <f t="array" ref="L42">IF(OR(is_header,is_empty),"",
                INDEX(Budget_Planning!$E:$DY,row_id,
                       MATCH(IF(Selected_period="Total Year",Selected_Year,DATE(Selected_Year,Selected_period,1)), Budget_Planning!$E$9:$DY$9, 0)))</f>
        <v/>
      </c>
      <c r="M42" s="5" t="str" cm="1">
        <f t="array" ref="M42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42" s="6" t="str" cm="1">
        <f t="array" ref="N42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42" s="5" t="str">
        <f t="shared" si="3"/>
        <v/>
      </c>
      <c r="P42" t="str">
        <f t="shared" ca="1" si="4"/>
        <v/>
      </c>
      <c r="Q42" t="str">
        <f t="shared" si="5"/>
        <v/>
      </c>
      <c r="R42" s="6" t="str">
        <f t="shared" ca="1" si="6"/>
        <v/>
      </c>
      <c r="S42" s="5" t="str">
        <f t="shared" si="7"/>
        <v/>
      </c>
      <c r="T42" t="str">
        <f t="shared" si="17"/>
        <v/>
      </c>
      <c r="U42" t="str">
        <f t="shared" ca="1" si="8"/>
        <v/>
      </c>
      <c r="V42" t="str">
        <f t="shared" si="9"/>
        <v/>
      </c>
      <c r="W42" s="6" t="str">
        <f t="shared" ca="1" si="10"/>
        <v/>
      </c>
      <c r="X42" s="102">
        <f t="shared" si="11"/>
        <v>-1</v>
      </c>
      <c r="Y42" t="str">
        <f t="shared" si="12"/>
        <v/>
      </c>
      <c r="Z42" t="str">
        <f t="shared" si="13"/>
        <v/>
      </c>
      <c r="AA42" t="str">
        <f t="shared" si="14"/>
        <v/>
      </c>
      <c r="AB42" s="104" t="str">
        <f t="shared" si="15"/>
        <v/>
      </c>
      <c r="AC42" t="str">
        <f t="shared" si="18"/>
        <v/>
      </c>
      <c r="AD42" t="str">
        <f t="shared" si="16"/>
        <v/>
      </c>
    </row>
    <row r="43" spans="3:44" x14ac:dyDescent="0.3">
      <c r="C43" s="5" cm="1">
        <f t="array" ref="C43">IF(C42=-1,-1,
         IF(C42&lt;income_max_row,C42+1,
           IF(C42=income_max_row,income_total_row,
                  IF(C42=income_total_row, "/1",
                          IF(C42="/1",expenses_header_row,
                                  IF(C42&lt;expenses_max_row, C42+1,
                                                   IF(C42=expenses_max_row,expenses_total_row,
                                                            IF(C42=expenses_total_row,"/2",
                                                                          IF(C42="/2",Savings_header_row,
                                                                                  IF(C42&lt;savings_max_row,C42+1,
                                                                                           IF(C42=savings_max_row,savings_total_row,
                                                                                                      -1)))))))))))</f>
        <v>-1</v>
      </c>
      <c r="D43" s="6">
        <f t="shared" si="0"/>
        <v>-1</v>
      </c>
      <c r="E43" s="5" cm="1">
        <f t="array" ref="E43">1*OR(row_id=income_header_row,row_id=expenses_header_row,row_id=Savings_header_row)</f>
        <v>0</v>
      </c>
      <c r="F43">
        <f t="shared" si="1"/>
        <v>0</v>
      </c>
      <c r="G43" cm="1">
        <f t="array" ref="G43">1*OR(row_id=income_total_row,row_id=expenses_total_row,row_id=savings_total_row)</f>
        <v>0</v>
      </c>
      <c r="H43" s="6">
        <f t="shared" si="2"/>
        <v>1</v>
      </c>
      <c r="I43" s="5" t="str" cm="1">
        <f t="array" ref="I43">IFERROR(INDEX(Budget_Planning!$C:$C,header_row_id), " ")</f>
        <v xml:space="preserve"> </v>
      </c>
      <c r="J43" t="str" cm="1">
        <f t="array" ref="J43">IFERROR(INDEX(Budget_Planning!$C:$C,row_id), " ")</f>
        <v xml:space="preserve"> </v>
      </c>
      <c r="K43" s="97" t="str" cm="1">
        <f t="array" ref="K43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43" s="98" t="str" cm="1">
        <f t="array" ref="L43">IF(OR(is_header,is_empty),"",
                INDEX(Budget_Planning!$E:$DY,row_id,
                       MATCH(IF(Selected_period="Total Year",Selected_Year,DATE(Selected_Year,Selected_period,1)), Budget_Planning!$E$9:$DY$9, 0)))</f>
        <v/>
      </c>
      <c r="M43" s="5" t="str" cm="1">
        <f t="array" ref="M43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43" s="6" t="str" cm="1">
        <f t="array" ref="N43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43" s="5" t="str">
        <f t="shared" si="3"/>
        <v/>
      </c>
      <c r="P43" t="str">
        <f t="shared" ca="1" si="4"/>
        <v/>
      </c>
      <c r="Q43" t="str">
        <f t="shared" si="5"/>
        <v/>
      </c>
      <c r="R43" s="6" t="str">
        <f t="shared" ca="1" si="6"/>
        <v/>
      </c>
      <c r="S43" s="5" t="str">
        <f t="shared" si="7"/>
        <v/>
      </c>
      <c r="T43" t="str">
        <f t="shared" si="17"/>
        <v/>
      </c>
      <c r="U43" t="str">
        <f t="shared" ca="1" si="8"/>
        <v/>
      </c>
      <c r="V43" t="str">
        <f t="shared" si="9"/>
        <v/>
      </c>
      <c r="W43" s="6" t="str">
        <f t="shared" ca="1" si="10"/>
        <v/>
      </c>
      <c r="X43" s="102">
        <f t="shared" si="11"/>
        <v>-1</v>
      </c>
      <c r="Y43" t="str">
        <f t="shared" si="12"/>
        <v/>
      </c>
      <c r="Z43" t="str">
        <f t="shared" si="13"/>
        <v/>
      </c>
      <c r="AA43" t="str">
        <f t="shared" si="14"/>
        <v/>
      </c>
      <c r="AB43" s="104" t="str">
        <f t="shared" si="15"/>
        <v/>
      </c>
      <c r="AC43" t="str">
        <f t="shared" si="18"/>
        <v/>
      </c>
      <c r="AD43" t="str">
        <f t="shared" si="16"/>
        <v/>
      </c>
    </row>
    <row r="44" spans="3:44" x14ac:dyDescent="0.3">
      <c r="C44" s="5" cm="1">
        <f t="array" ref="C44">IF(C43=-1,-1,
         IF(C43&lt;income_max_row,C43+1,
           IF(C43=income_max_row,income_total_row,
                  IF(C43=income_total_row, "/1",
                          IF(C43="/1",expenses_header_row,
                                  IF(C43&lt;expenses_max_row, C43+1,
                                                   IF(C43=expenses_max_row,expenses_total_row,
                                                            IF(C43=expenses_total_row,"/2",
                                                                          IF(C43="/2",Savings_header_row,
                                                                                  IF(C43&lt;savings_max_row,C43+1,
                                                                                           IF(C43=savings_max_row,savings_total_row,
                                                                                                      -1)))))))))))</f>
        <v>-1</v>
      </c>
      <c r="D44" s="6">
        <f t="shared" si="0"/>
        <v>-1</v>
      </c>
      <c r="E44" s="5" cm="1">
        <f t="array" ref="E44">1*OR(row_id=income_header_row,row_id=expenses_header_row,row_id=Savings_header_row)</f>
        <v>0</v>
      </c>
      <c r="F44">
        <f t="shared" si="1"/>
        <v>0</v>
      </c>
      <c r="G44" cm="1">
        <f t="array" ref="G44">1*OR(row_id=income_total_row,row_id=expenses_total_row,row_id=savings_total_row)</f>
        <v>0</v>
      </c>
      <c r="H44" s="6">
        <f t="shared" si="2"/>
        <v>1</v>
      </c>
      <c r="I44" s="5" t="str" cm="1">
        <f t="array" ref="I44">IFERROR(INDEX(Budget_Planning!$C:$C,header_row_id), " ")</f>
        <v xml:space="preserve"> </v>
      </c>
      <c r="J44" t="str" cm="1">
        <f t="array" ref="J44">IFERROR(INDEX(Budget_Planning!$C:$C,row_id), " ")</f>
        <v xml:space="preserve"> </v>
      </c>
      <c r="K44" s="97" t="str" cm="1">
        <f t="array" ref="K44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44" s="98" t="str" cm="1">
        <f t="array" ref="L44">IF(OR(is_header,is_empty),"",
                INDEX(Budget_Planning!$E:$DY,row_id,
                       MATCH(IF(Selected_period="Total Year",Selected_Year,DATE(Selected_Year,Selected_period,1)), Budget_Planning!$E$9:$DY$9, 0)))</f>
        <v/>
      </c>
      <c r="M44" s="5" t="str" cm="1">
        <f t="array" ref="M44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44" s="6" t="str" cm="1">
        <f t="array" ref="N44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44" s="5" t="str">
        <f t="shared" si="3"/>
        <v/>
      </c>
      <c r="P44" t="str">
        <f t="shared" ca="1" si="4"/>
        <v/>
      </c>
      <c r="Q44" t="str">
        <f t="shared" si="5"/>
        <v/>
      </c>
      <c r="R44" s="6" t="str">
        <f t="shared" ca="1" si="6"/>
        <v/>
      </c>
      <c r="S44" s="5" t="str">
        <f t="shared" si="7"/>
        <v/>
      </c>
      <c r="T44" t="str">
        <f t="shared" si="17"/>
        <v/>
      </c>
      <c r="U44" t="str">
        <f t="shared" ca="1" si="8"/>
        <v/>
      </c>
      <c r="V44" t="str">
        <f t="shared" si="9"/>
        <v/>
      </c>
      <c r="W44" s="6" t="str">
        <f t="shared" ca="1" si="10"/>
        <v/>
      </c>
      <c r="X44" s="102">
        <f t="shared" si="11"/>
        <v>-1</v>
      </c>
      <c r="Y44" t="str">
        <f t="shared" si="12"/>
        <v/>
      </c>
      <c r="Z44" t="str">
        <f t="shared" si="13"/>
        <v/>
      </c>
      <c r="AA44" t="str">
        <f t="shared" si="14"/>
        <v/>
      </c>
      <c r="AB44" s="104" t="str">
        <f t="shared" si="15"/>
        <v/>
      </c>
      <c r="AC44" t="str">
        <f t="shared" si="18"/>
        <v/>
      </c>
      <c r="AD44" t="str">
        <f t="shared" si="16"/>
        <v/>
      </c>
    </row>
    <row r="45" spans="3:44" x14ac:dyDescent="0.3">
      <c r="C45" s="5" cm="1">
        <f t="array" ref="C45">IF(C44=-1,-1,
         IF(C44&lt;income_max_row,C44+1,
           IF(C44=income_max_row,income_total_row,
                  IF(C44=income_total_row, "/1",
                          IF(C44="/1",expenses_header_row,
                                  IF(C44&lt;expenses_max_row, C44+1,
                                                   IF(C44=expenses_max_row,expenses_total_row,
                                                            IF(C44=expenses_total_row,"/2",
                                                                          IF(C44="/2",Savings_header_row,
                                                                                  IF(C44&lt;savings_max_row,C44+1,
                                                                                           IF(C44=savings_max_row,savings_total_row,
                                                                                                      -1)))))))))))</f>
        <v>-1</v>
      </c>
      <c r="D45" s="6">
        <f t="shared" si="0"/>
        <v>-1</v>
      </c>
      <c r="E45" s="5" cm="1">
        <f t="array" ref="E45">1*OR(row_id=income_header_row,row_id=expenses_header_row,row_id=Savings_header_row)</f>
        <v>0</v>
      </c>
      <c r="F45">
        <f t="shared" si="1"/>
        <v>0</v>
      </c>
      <c r="G45" cm="1">
        <f t="array" ref="G45">1*OR(row_id=income_total_row,row_id=expenses_total_row,row_id=savings_total_row)</f>
        <v>0</v>
      </c>
      <c r="H45" s="6">
        <f t="shared" si="2"/>
        <v>1</v>
      </c>
      <c r="I45" s="5" t="str" cm="1">
        <f t="array" ref="I45">IFERROR(INDEX(Budget_Planning!$C:$C,header_row_id), " ")</f>
        <v xml:space="preserve"> </v>
      </c>
      <c r="J45" t="str" cm="1">
        <f t="array" ref="J45">IFERROR(INDEX(Budget_Planning!$C:$C,row_id), " ")</f>
        <v xml:space="preserve"> </v>
      </c>
      <c r="K45" s="97" t="str" cm="1">
        <f t="array" ref="K45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45" s="98" t="str" cm="1">
        <f t="array" ref="L45">IF(OR(is_header,is_empty),"",
                INDEX(Budget_Planning!$E:$DY,row_id,
                       MATCH(IF(Selected_period="Total Year",Selected_Year,DATE(Selected_Year,Selected_period,1)), Budget_Planning!$E$9:$DY$9, 0)))</f>
        <v/>
      </c>
      <c r="M45" s="5" t="str" cm="1">
        <f t="array" ref="M45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45" s="6" t="str" cm="1">
        <f t="array" ref="N45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45" s="5" t="str">
        <f t="shared" si="3"/>
        <v/>
      </c>
      <c r="P45" t="str">
        <f t="shared" ca="1" si="4"/>
        <v/>
      </c>
      <c r="Q45" t="str">
        <f t="shared" si="5"/>
        <v/>
      </c>
      <c r="R45" s="6" t="str">
        <f t="shared" ca="1" si="6"/>
        <v/>
      </c>
      <c r="S45" s="5" t="str">
        <f t="shared" si="7"/>
        <v/>
      </c>
      <c r="T45" t="str">
        <f t="shared" si="17"/>
        <v/>
      </c>
      <c r="U45" t="str">
        <f t="shared" ca="1" si="8"/>
        <v/>
      </c>
      <c r="V45" t="str">
        <f t="shared" si="9"/>
        <v/>
      </c>
      <c r="W45" s="6" t="str">
        <f t="shared" ca="1" si="10"/>
        <v/>
      </c>
      <c r="X45" s="102">
        <f t="shared" si="11"/>
        <v>-1</v>
      </c>
      <c r="Y45" t="str">
        <f t="shared" si="12"/>
        <v/>
      </c>
      <c r="Z45" t="str">
        <f t="shared" si="13"/>
        <v/>
      </c>
      <c r="AA45" t="str">
        <f t="shared" si="14"/>
        <v/>
      </c>
      <c r="AB45" s="104" t="str">
        <f t="shared" si="15"/>
        <v/>
      </c>
      <c r="AC45" t="str">
        <f t="shared" si="18"/>
        <v/>
      </c>
      <c r="AD45" t="str">
        <f t="shared" si="16"/>
        <v/>
      </c>
    </row>
    <row r="46" spans="3:44" x14ac:dyDescent="0.3">
      <c r="C46" s="5" cm="1">
        <f t="array" ref="C46">IF(C45=-1,-1,
         IF(C45&lt;income_max_row,C45+1,
           IF(C45=income_max_row,income_total_row,
                  IF(C45=income_total_row, "/1",
                          IF(C45="/1",expenses_header_row,
                                  IF(C45&lt;expenses_max_row, C45+1,
                                                   IF(C45=expenses_max_row,expenses_total_row,
                                                            IF(C45=expenses_total_row,"/2",
                                                                          IF(C45="/2",Savings_header_row,
                                                                                  IF(C45&lt;savings_max_row,C45+1,
                                                                                           IF(C45=savings_max_row,savings_total_row,
                                                                                                      -1)))))))))))</f>
        <v>-1</v>
      </c>
      <c r="D46" s="6">
        <f t="shared" si="0"/>
        <v>-1</v>
      </c>
      <c r="E46" s="5" cm="1">
        <f t="array" ref="E46">1*OR(row_id=income_header_row,row_id=expenses_header_row,row_id=Savings_header_row)</f>
        <v>0</v>
      </c>
      <c r="F46">
        <f t="shared" si="1"/>
        <v>0</v>
      </c>
      <c r="G46" cm="1">
        <f t="array" ref="G46">1*OR(row_id=income_total_row,row_id=expenses_total_row,row_id=savings_total_row)</f>
        <v>0</v>
      </c>
      <c r="H46" s="6">
        <f t="shared" si="2"/>
        <v>1</v>
      </c>
      <c r="I46" s="5" t="str" cm="1">
        <f t="array" ref="I46">IFERROR(INDEX(Budget_Planning!$C:$C,header_row_id), " ")</f>
        <v xml:space="preserve"> </v>
      </c>
      <c r="J46" t="str" cm="1">
        <f t="array" ref="J46">IFERROR(INDEX(Budget_Planning!$C:$C,row_id), " ")</f>
        <v xml:space="preserve"> </v>
      </c>
      <c r="K46" s="97" t="str" cm="1">
        <f t="array" ref="K46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46" s="98" t="str" cm="1">
        <f t="array" ref="L46">IF(OR(is_header,is_empty),"",
                INDEX(Budget_Planning!$E:$DY,row_id,
                       MATCH(IF(Selected_period="Total Year",Selected_Year,DATE(Selected_Year,Selected_period,1)), Budget_Planning!$E$9:$DY$9, 0)))</f>
        <v/>
      </c>
      <c r="M46" s="5" t="str" cm="1">
        <f t="array" ref="M46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46" s="6" t="str" cm="1">
        <f t="array" ref="N46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46" s="5" t="str">
        <f t="shared" si="3"/>
        <v/>
      </c>
      <c r="P46" t="str">
        <f t="shared" ca="1" si="4"/>
        <v/>
      </c>
      <c r="Q46" t="str">
        <f t="shared" si="5"/>
        <v/>
      </c>
      <c r="R46" s="6" t="str">
        <f t="shared" ca="1" si="6"/>
        <v/>
      </c>
      <c r="S46" s="5" t="str">
        <f t="shared" si="7"/>
        <v/>
      </c>
      <c r="T46" t="str">
        <f t="shared" si="17"/>
        <v/>
      </c>
      <c r="U46" t="str">
        <f t="shared" ca="1" si="8"/>
        <v/>
      </c>
      <c r="V46" t="str">
        <f t="shared" si="9"/>
        <v/>
      </c>
      <c r="W46" s="6" t="str">
        <f t="shared" ca="1" si="10"/>
        <v/>
      </c>
      <c r="X46" s="102">
        <f t="shared" si="11"/>
        <v>-1</v>
      </c>
      <c r="Y46" t="str">
        <f t="shared" si="12"/>
        <v/>
      </c>
      <c r="Z46" t="str">
        <f t="shared" si="13"/>
        <v/>
      </c>
      <c r="AA46" t="str">
        <f t="shared" si="14"/>
        <v/>
      </c>
      <c r="AB46" s="104" t="str">
        <f t="shared" si="15"/>
        <v/>
      </c>
      <c r="AC46" t="str">
        <f t="shared" si="18"/>
        <v/>
      </c>
      <c r="AD46" t="str">
        <f t="shared" si="16"/>
        <v/>
      </c>
    </row>
    <row r="47" spans="3:44" x14ac:dyDescent="0.3">
      <c r="C47" s="5" cm="1">
        <f t="array" ref="C47">IF(C46=-1,-1,
         IF(C46&lt;income_max_row,C46+1,
           IF(C46=income_max_row,income_total_row,
                  IF(C46=income_total_row, "/1",
                          IF(C46="/1",expenses_header_row,
                                  IF(C46&lt;expenses_max_row, C46+1,
                                                   IF(C46=expenses_max_row,expenses_total_row,
                                                            IF(C46=expenses_total_row,"/2",
                                                                          IF(C46="/2",Savings_header_row,
                                                                                  IF(C46&lt;savings_max_row,C46+1,
                                                                                           IF(C46=savings_max_row,savings_total_row,
                                                                                                      -1)))))))))))</f>
        <v>-1</v>
      </c>
      <c r="D47" s="6">
        <f t="shared" si="0"/>
        <v>-1</v>
      </c>
      <c r="E47" s="5" cm="1">
        <f t="array" ref="E47">1*OR(row_id=income_header_row,row_id=expenses_header_row,row_id=Savings_header_row)</f>
        <v>0</v>
      </c>
      <c r="F47">
        <f t="shared" si="1"/>
        <v>0</v>
      </c>
      <c r="G47" cm="1">
        <f t="array" ref="G47">1*OR(row_id=income_total_row,row_id=expenses_total_row,row_id=savings_total_row)</f>
        <v>0</v>
      </c>
      <c r="H47" s="6">
        <f t="shared" si="2"/>
        <v>1</v>
      </c>
      <c r="I47" s="5" t="str" cm="1">
        <f t="array" ref="I47">IFERROR(INDEX(Budget_Planning!$C:$C,header_row_id), " ")</f>
        <v xml:space="preserve"> </v>
      </c>
      <c r="J47" t="str" cm="1">
        <f t="array" ref="J47">IFERROR(INDEX(Budget_Planning!$C:$C,row_id), " ")</f>
        <v xml:space="preserve"> </v>
      </c>
      <c r="K47" s="97" t="str" cm="1">
        <f t="array" ref="K47">IF(OR(is_header,is_empty),"",
      IF(is_total,
          IF(Selected_period="Total Year",
               SUM(Tracking[Amount]*(Tracking[Type]=type)*(YEAR(Tracking[Effective Date])=Selected_Year) ),
              SUM(Tracking[Amount]*(Tracking[Type]=type)*(YEAR(Tracking[Effective Date])=Selected_Year) * (MONTH(Tracking[Effective Date])=Selected_period))),
           IF(Selected_period="Total Year",
                  SUM(Tracking[Amount]*(Tracking[Type]=type)*(Tracking[Category]=item)*(YEAR(Tracking[Effective Date])=Selected_Year)),
                 SUM(Tracking[Amount]*(Tracking[Type]=type)*(Tracking[Category]=item)*(YEAR(Tracking[Effective Date])=Selected_Year) * (MONTH(Tracking[Effective Date])=Selected_period))
                  )))</f>
        <v/>
      </c>
      <c r="L47" s="98" t="str" cm="1">
        <f t="array" ref="L47">IF(OR(is_header,is_empty),"",
                INDEX(Budget_Planning!$E:$DY,row_id,
                       MATCH(IF(Selected_period="Total Year",Selected_Year,DATE(Selected_Year,Selected_period,1)), Budget_Planning!$E$9:$DY$9, 0)))</f>
        <v/>
      </c>
      <c r="M47" s="5" t="str" cm="1">
        <f t="array" ref="M47">IF(is_cat,
        IF(header_row_id=income_header_row, MATCH(income_min_row,$C:$C,0),
           IF(header_row_id=expenses_header_row,MATCH(expenses_min_row,$C:$C,0),
             IF(header_row_id=Savings_header_row,MATCH(savings_min_row,$C:$C,0),""))), "")</f>
        <v/>
      </c>
      <c r="N47" s="6" t="str" cm="1">
        <f t="array" ref="N47">IF(is_cat,
        IF(header_row_id=income_header_row, MATCH(income_max_row,$C:$C,0),
           IF(header_row_id=expenses_header_row,MATCH(expenses_max_row,$C:$C,0),
             IF(header_row_id=Savings_header_row,MATCH(savings_max_row,$C:$C,0),""))), "")</f>
        <v/>
      </c>
      <c r="O47" s="5" t="str">
        <f t="shared" si="3"/>
        <v/>
      </c>
      <c r="P47" t="str">
        <f t="shared" ca="1" si="4"/>
        <v/>
      </c>
      <c r="Q47" t="str">
        <f t="shared" si="5"/>
        <v/>
      </c>
      <c r="R47" s="6" t="str">
        <f t="shared" ca="1" si="6"/>
        <v/>
      </c>
      <c r="S47" s="5" t="str">
        <f t="shared" si="7"/>
        <v/>
      </c>
      <c r="T47" t="str">
        <f t="shared" si="17"/>
        <v/>
      </c>
      <c r="U47" t="str">
        <f t="shared" ca="1" si="8"/>
        <v/>
      </c>
      <c r="V47" t="str">
        <f t="shared" si="9"/>
        <v/>
      </c>
      <c r="W47" s="6" t="str">
        <f t="shared" ca="1" si="10"/>
        <v/>
      </c>
      <c r="X47" s="102">
        <f t="shared" si="11"/>
        <v>-1</v>
      </c>
      <c r="Y47" t="str">
        <f t="shared" si="12"/>
        <v/>
      </c>
      <c r="Z47" t="str">
        <f t="shared" si="13"/>
        <v/>
      </c>
      <c r="AA47" t="str">
        <f t="shared" si="14"/>
        <v/>
      </c>
      <c r="AB47" s="104" t="str">
        <f t="shared" si="15"/>
        <v/>
      </c>
      <c r="AC47" t="str">
        <f t="shared" si="18"/>
        <v/>
      </c>
      <c r="AD47" t="str">
        <f t="shared" si="16"/>
        <v/>
      </c>
    </row>
    <row r="48" spans="3:44" x14ac:dyDescent="0.3">
      <c r="E48" t="b">
        <v>1</v>
      </c>
    </row>
  </sheetData>
  <mergeCells count="7">
    <mergeCell ref="B2:AR3"/>
    <mergeCell ref="Y8:AD8"/>
    <mergeCell ref="AF8:AR8"/>
    <mergeCell ref="AL5:AM5"/>
    <mergeCell ref="AL6:AM6"/>
    <mergeCell ref="AQ5:AR5"/>
    <mergeCell ref="AQ6:AR6"/>
  </mergeCells>
  <conditionalFormatting sqref="Y10:AD37">
    <cfRule type="expression" dxfId="24" priority="22" stopIfTrue="1">
      <formula>row_id=income_header_row</formula>
    </cfRule>
    <cfRule type="expression" dxfId="23" priority="23" stopIfTrue="1">
      <formula>row_id=expenses_header_row</formula>
    </cfRule>
    <cfRule type="expression" dxfId="22" priority="24" stopIfTrue="1">
      <formula>row_id=Savings_header_row</formula>
    </cfRule>
    <cfRule type="expression" dxfId="21" priority="25" stopIfTrue="1">
      <formula>is_total</formula>
    </cfRule>
  </conditionalFormatting>
  <conditionalFormatting sqref="AB10:AB37">
    <cfRule type="expression" dxfId="20" priority="27" stopIfTrue="1">
      <formula>AND(OR(is_cat,is_total), out_budget &gt; 0, out_percentage_completed &gt;=1,header_row_id=expenses_header_row)</formula>
    </cfRule>
    <cfRule type="expression" dxfId="19" priority="28" stopIfTrue="1">
      <formula>AND(OR(is_cat,is_total), out_budget &gt; 0, out_percentage_completed &gt;=1,header_row_id=Savings_header_row)</formula>
    </cfRule>
    <cfRule type="dataBar" priority="2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{79E717C6-EEEF-4DC8-B764-313E1405C229}</x14:id>
        </ext>
      </extLst>
    </cfRule>
  </conditionalFormatting>
  <conditionalFormatting sqref="AB10:AB47">
    <cfRule type="expression" dxfId="18" priority="26" stopIfTrue="1">
      <formula>AND(OR(is_cat,is_total), out_budget &gt; 0, out_percentage_completed &gt;=1,header_row_id=income_header_row)</formula>
    </cfRule>
  </conditionalFormatting>
  <conditionalFormatting sqref="AH12">
    <cfRule type="expression" dxfId="17" priority="18">
      <formula>AI12&lt;&gt;""</formula>
    </cfRule>
  </conditionalFormatting>
  <conditionalFormatting sqref="AH13">
    <cfRule type="expression" dxfId="16" priority="17">
      <formula>AI13&lt;&gt;""</formula>
    </cfRule>
  </conditionalFormatting>
  <conditionalFormatting sqref="AH14">
    <cfRule type="expression" dxfId="15" priority="16">
      <formula>AI14&lt;&gt;""</formula>
    </cfRule>
  </conditionalFormatting>
  <conditionalFormatting sqref="AH15">
    <cfRule type="expression" dxfId="14" priority="15">
      <formula>AI15&lt;&gt;""</formula>
    </cfRule>
  </conditionalFormatting>
  <conditionalFormatting sqref="AH16">
    <cfRule type="expression" dxfId="13" priority="14">
      <formula>AI16&lt;&gt;""</formula>
    </cfRule>
  </conditionalFormatting>
  <conditionalFormatting sqref="AH17">
    <cfRule type="expression" dxfId="12" priority="13">
      <formula>AI17&lt;&gt;""</formula>
    </cfRule>
  </conditionalFormatting>
  <conditionalFormatting sqref="AH25">
    <cfRule type="expression" dxfId="11" priority="12">
      <formula>AI25&lt;&gt;""</formula>
    </cfRule>
  </conditionalFormatting>
  <conditionalFormatting sqref="AH26">
    <cfRule type="expression" dxfId="10" priority="11">
      <formula>AI26&lt;&gt;""</formula>
    </cfRule>
  </conditionalFormatting>
  <conditionalFormatting sqref="AH27">
    <cfRule type="expression" dxfId="9" priority="10">
      <formula>AI27&lt;&gt;""</formula>
    </cfRule>
  </conditionalFormatting>
  <conditionalFormatting sqref="AH28">
    <cfRule type="expression" dxfId="8" priority="9">
      <formula>AI28&lt;&gt;""</formula>
    </cfRule>
  </conditionalFormatting>
  <conditionalFormatting sqref="AH29">
    <cfRule type="expression" dxfId="7" priority="8">
      <formula>AI29&lt;&gt;""</formula>
    </cfRule>
  </conditionalFormatting>
  <conditionalFormatting sqref="AH30">
    <cfRule type="expression" dxfId="6" priority="7">
      <formula>AI30&lt;&gt;""</formula>
    </cfRule>
  </conditionalFormatting>
  <conditionalFormatting sqref="AO25">
    <cfRule type="expression" dxfId="5" priority="6">
      <formula>AP25&lt;&gt;""</formula>
    </cfRule>
  </conditionalFormatting>
  <conditionalFormatting sqref="AO26">
    <cfRule type="expression" dxfId="4" priority="5">
      <formula>AP26&lt;&gt;""</formula>
    </cfRule>
  </conditionalFormatting>
  <conditionalFormatting sqref="AO27">
    <cfRule type="expression" dxfId="3" priority="4">
      <formula>AP27&lt;&gt;""</formula>
    </cfRule>
  </conditionalFormatting>
  <conditionalFormatting sqref="AO28">
    <cfRule type="expression" dxfId="2" priority="3">
      <formula>AP28&lt;&gt;""</formula>
    </cfRule>
  </conditionalFormatting>
  <conditionalFormatting sqref="AO29">
    <cfRule type="expression" dxfId="1" priority="2">
      <formula>AP29&lt;&gt;""</formula>
    </cfRule>
  </conditionalFormatting>
  <conditionalFormatting sqref="AO30">
    <cfRule type="expression" dxfId="0" priority="1">
      <formula>AP30&lt;&gt;""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Check Box 4">
              <controlPr defaultSize="0" autoFill="0" autoLine="0" autoPict="0">
                <anchor moveWithCells="1">
                  <from>
                    <xdr:col>42</xdr:col>
                    <xdr:colOff>7620</xdr:colOff>
                    <xdr:row>9</xdr:row>
                    <xdr:rowOff>114300</xdr:rowOff>
                  </from>
                  <to>
                    <xdr:col>43</xdr:col>
                    <xdr:colOff>99060</xdr:colOff>
                    <xdr:row>10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42</xdr:col>
                    <xdr:colOff>7620</xdr:colOff>
                    <xdr:row>10</xdr:row>
                    <xdr:rowOff>91440</xdr:rowOff>
                  </from>
                  <to>
                    <xdr:col>43</xdr:col>
                    <xdr:colOff>99060</xdr:colOff>
                    <xdr:row>11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42</xdr:col>
                    <xdr:colOff>7620</xdr:colOff>
                    <xdr:row>11</xdr:row>
                    <xdr:rowOff>76200</xdr:rowOff>
                  </from>
                  <to>
                    <xdr:col>43</xdr:col>
                    <xdr:colOff>99060</xdr:colOff>
                    <xdr:row>12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41</xdr:col>
                    <xdr:colOff>243840</xdr:colOff>
                    <xdr:row>9</xdr:row>
                    <xdr:rowOff>114300</xdr:rowOff>
                  </from>
                  <to>
                    <xdr:col>41</xdr:col>
                    <xdr:colOff>853440</xdr:colOff>
                    <xdr:row>10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E717C6-EEEF-4DC8-B764-313E1405C2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AB10:AB37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DA1DA-D0A9-47E4-8566-52EBDA352ADF}">
          <x14:formula1>
            <xm:f>LookUpData!$C$8:$C$18</xm:f>
          </x14:formula1>
          <xm:sqref>AL6:AM6</xm:sqref>
        </x14:dataValidation>
        <x14:dataValidation type="list" allowBlank="1" showInputMessage="1" showErrorMessage="1" xr:uid="{37545C23-7083-43EC-A7A3-369666349FA8}">
          <x14:formula1>
            <xm:f>LookUpData!$E$8:$E$21</xm:f>
          </x14:formula1>
          <xm:sqref>AQ6:AR6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9AE9-C679-4647-9484-CA24534D0078}">
  <sheetPr codeName="Sheet6"/>
  <dimension ref="A1:Z21"/>
  <sheetViews>
    <sheetView showGridLines="0" workbookViewId="0">
      <selection activeCell="G7" sqref="G7"/>
    </sheetView>
  </sheetViews>
  <sheetFormatPr defaultRowHeight="14.4" x14ac:dyDescent="0.3"/>
  <cols>
    <col min="2" max="2" width="3.77734375" customWidth="1"/>
    <col min="3" max="3" width="21.21875" customWidth="1"/>
    <col min="4" max="4" width="6.88671875" customWidth="1"/>
    <col min="5" max="5" width="22.109375" customWidth="1"/>
  </cols>
  <sheetData>
    <row r="1" spans="1:26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21" x14ac:dyDescent="0.4">
      <c r="A2" s="77"/>
      <c r="B2" s="78" t="s">
        <v>57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x14ac:dyDescent="0.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7" spans="1:26" x14ac:dyDescent="0.3">
      <c r="C7" s="79" t="s">
        <v>58</v>
      </c>
      <c r="E7" s="79" t="s">
        <v>60</v>
      </c>
    </row>
    <row r="8" spans="1:26" x14ac:dyDescent="0.3">
      <c r="C8" s="80" t="s">
        <v>59</v>
      </c>
      <c r="E8" s="82" t="s">
        <v>61</v>
      </c>
    </row>
    <row r="9" spans="1:26" x14ac:dyDescent="0.3">
      <c r="C9" s="80">
        <f>starting_year</f>
        <v>2022</v>
      </c>
      <c r="E9" s="82" t="s">
        <v>62</v>
      </c>
    </row>
    <row r="10" spans="1:26" x14ac:dyDescent="0.3">
      <c r="C10" s="80">
        <f>C9+1</f>
        <v>2023</v>
      </c>
      <c r="E10" s="83">
        <v>36526</v>
      </c>
    </row>
    <row r="11" spans="1:26" x14ac:dyDescent="0.3">
      <c r="C11" s="80">
        <f t="shared" ref="C11:C18" si="0">C10+1</f>
        <v>2024</v>
      </c>
      <c r="E11" s="83">
        <v>36557</v>
      </c>
    </row>
    <row r="12" spans="1:26" x14ac:dyDescent="0.3">
      <c r="C12" s="80">
        <f t="shared" si="0"/>
        <v>2025</v>
      </c>
      <c r="E12" s="83">
        <v>36586</v>
      </c>
    </row>
    <row r="13" spans="1:26" x14ac:dyDescent="0.3">
      <c r="C13" s="80">
        <f t="shared" si="0"/>
        <v>2026</v>
      </c>
      <c r="E13" s="83">
        <v>36617</v>
      </c>
    </row>
    <row r="14" spans="1:26" x14ac:dyDescent="0.3">
      <c r="C14" s="80">
        <f t="shared" si="0"/>
        <v>2027</v>
      </c>
      <c r="E14" s="83">
        <v>36647</v>
      </c>
    </row>
    <row r="15" spans="1:26" x14ac:dyDescent="0.3">
      <c r="C15" s="80">
        <f t="shared" si="0"/>
        <v>2028</v>
      </c>
      <c r="E15" s="83">
        <v>36678</v>
      </c>
    </row>
    <row r="16" spans="1:26" x14ac:dyDescent="0.3">
      <c r="C16" s="80">
        <f t="shared" si="0"/>
        <v>2029</v>
      </c>
      <c r="E16" s="83">
        <v>36708</v>
      </c>
    </row>
    <row r="17" spans="3:5" x14ac:dyDescent="0.3">
      <c r="C17" s="80">
        <f>C16+1</f>
        <v>2030</v>
      </c>
      <c r="E17" s="83">
        <v>36739</v>
      </c>
    </row>
    <row r="18" spans="3:5" x14ac:dyDescent="0.3">
      <c r="C18" s="81">
        <f t="shared" si="0"/>
        <v>2031</v>
      </c>
      <c r="E18" s="83">
        <v>36770</v>
      </c>
    </row>
    <row r="19" spans="3:5" x14ac:dyDescent="0.3">
      <c r="E19" s="84">
        <v>36800</v>
      </c>
    </row>
    <row r="20" spans="3:5" x14ac:dyDescent="0.3">
      <c r="E20" s="84">
        <v>36831</v>
      </c>
    </row>
    <row r="21" spans="3:5" x14ac:dyDescent="0.3">
      <c r="E21" s="85">
        <v>36861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2304-6E32-40A1-A790-6292624A86C1}">
  <sheetPr codeName="Sheet1"/>
  <dimension ref="A1:V105"/>
  <sheetViews>
    <sheetView showGridLines="0" zoomScale="88" zoomScaleNormal="88" workbookViewId="0">
      <selection activeCell="E19" sqref="E19:E27"/>
    </sheetView>
  </sheetViews>
  <sheetFormatPr defaultRowHeight="14.4" x14ac:dyDescent="0.3"/>
  <cols>
    <col min="1" max="1" width="4.6640625" customWidth="1"/>
    <col min="2" max="2" width="2.77734375" customWidth="1"/>
    <col min="3" max="3" width="2.21875" customWidth="1"/>
    <col min="4" max="4" width="22.5546875" customWidth="1"/>
    <col min="5" max="5" width="34.5546875" customWidth="1"/>
    <col min="6" max="6" width="13.33203125" customWidth="1"/>
    <col min="7" max="7" width="9.33203125" customWidth="1"/>
    <col min="8" max="8" width="12.6640625" customWidth="1"/>
    <col min="9" max="9" width="20" customWidth="1"/>
    <col min="10" max="10" width="15.21875" customWidth="1"/>
    <col min="11" max="11" width="12.88671875" customWidth="1"/>
    <col min="12" max="12" width="16.6640625" customWidth="1"/>
    <col min="13" max="13" width="23.109375" customWidth="1"/>
    <col min="14" max="14" width="11.88671875" customWidth="1"/>
    <col min="16" max="16" width="23.109375" customWidth="1"/>
    <col min="17" max="17" width="11.88671875" customWidth="1"/>
  </cols>
  <sheetData>
    <row r="1" spans="1:22" ht="18" x14ac:dyDescent="0.35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5"/>
    </row>
    <row r="2" spans="1:22" ht="18" x14ac:dyDescent="0.35">
      <c r="A2" s="56"/>
      <c r="B2" s="57" t="s">
        <v>45</v>
      </c>
      <c r="C2" s="57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</row>
    <row r="3" spans="1:22" ht="18.600000000000001" thickBot="1" x14ac:dyDescent="0.4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</row>
    <row r="6" spans="1:22" ht="23.4" x14ac:dyDescent="0.3">
      <c r="C6" s="177" t="s">
        <v>46</v>
      </c>
      <c r="D6" s="178"/>
      <c r="E6" s="178"/>
      <c r="F6" s="178"/>
    </row>
    <row r="7" spans="1:22" ht="15" thickBot="1" x14ac:dyDescent="0.35"/>
    <row r="8" spans="1:22" x14ac:dyDescent="0.3">
      <c r="D8" s="63" t="s">
        <v>47</v>
      </c>
      <c r="E8" s="67" cm="1">
        <f t="array" aca="1" ref="E8" ca="1">current_date</f>
        <v>46163</v>
      </c>
    </row>
    <row r="9" spans="1:22" x14ac:dyDescent="0.3">
      <c r="D9" s="64" t="s">
        <v>48</v>
      </c>
      <c r="E9" s="68">
        <f>MAX(Tracking[Date])</f>
        <v>44635</v>
      </c>
    </row>
    <row r="10" spans="1:22" x14ac:dyDescent="0.3">
      <c r="D10" s="65" t="s">
        <v>49</v>
      </c>
      <c r="E10" s="69" t="str">
        <f ca="1">IF(D9=0, "","("&amp;_xlfn.DAYS(E8,E9)&amp; " Days ago)")</f>
        <v>(1528 Days ago)</v>
      </c>
    </row>
    <row r="11" spans="1:22" x14ac:dyDescent="0.3">
      <c r="D11" s="65" t="s">
        <v>50</v>
      </c>
      <c r="E11" s="69">
        <f>COUNT(Tracking[Date])</f>
        <v>45</v>
      </c>
    </row>
    <row r="12" spans="1:22" x14ac:dyDescent="0.3">
      <c r="D12" s="65" t="s">
        <v>51</v>
      </c>
      <c r="E12" s="69" t="str" cm="1">
        <f t="array" aca="1" ref="E12" ca="1">"(" &amp;SUMPRODUCT(--(YEAR(Tracking[Date])=YEAR(current_date))) &amp;" this year)"</f>
        <v>(0 this year)</v>
      </c>
    </row>
    <row r="13" spans="1:22" x14ac:dyDescent="0.3">
      <c r="D13" s="65" t="s">
        <v>52</v>
      </c>
      <c r="E13" s="70">
        <f>_xlfn.IFNA(INDEX(Tracking[Balance],MATCH(Calculations!E9,Tracking[Date],0)), "-")</f>
        <v>130</v>
      </c>
    </row>
    <row r="14" spans="1:22" ht="15" thickBot="1" x14ac:dyDescent="0.35">
      <c r="D14" s="66" t="s">
        <v>53</v>
      </c>
      <c r="E14" s="71" t="str">
        <f>IF(E13&gt;=0, "off tracked income left to be allocated", "allocated not covered by income")</f>
        <v>off tracked income left to be allocated</v>
      </c>
    </row>
    <row r="17" spans="4:14" ht="23.4" x14ac:dyDescent="0.3">
      <c r="D17" s="177" t="s">
        <v>65</v>
      </c>
      <c r="E17" s="178"/>
      <c r="F17" s="178"/>
      <c r="G17" s="178"/>
    </row>
    <row r="18" spans="4:14" ht="15" thickBot="1" x14ac:dyDescent="0.35"/>
    <row r="19" spans="4:14" x14ac:dyDescent="0.3">
      <c r="D19" s="63" t="s">
        <v>63</v>
      </c>
      <c r="E19" s="152" cm="1">
        <f t="array" ref="E19">IF(Budget_Dashboard!$AL$6="Current Year",YEAR(current_date),Budget_Dashboard!$AL$6)</f>
        <v>2022</v>
      </c>
    </row>
    <row r="20" spans="4:14" x14ac:dyDescent="0.3">
      <c r="D20" s="64" t="s">
        <v>64</v>
      </c>
      <c r="E20" s="153" t="str" cm="1">
        <f t="array" ref="E20">IF(Budget_Dashboard!$AQ$6="Total Year","Total Year",IF(Budget_Dashboard!$AQ$6="Current Month", MONTH(current_date),MONTH(Budget_Dashboard!$AQ$6)))</f>
        <v>Total Year</v>
      </c>
    </row>
    <row r="21" spans="4:14" x14ac:dyDescent="0.3">
      <c r="D21" s="64" t="s">
        <v>66</v>
      </c>
      <c r="E21" s="154" t="str">
        <f>IF(Selected_period="Total Year", "Total Year",TEXT(DATE(Selected_Year, Selected_period,1), "mmmm"))</f>
        <v>Total Year</v>
      </c>
    </row>
    <row r="22" spans="4:14" x14ac:dyDescent="0.3">
      <c r="D22" s="64" t="s">
        <v>110</v>
      </c>
      <c r="E22" s="155">
        <f>IF(Selected_period="TOTAL Year",DATE(Selected_Year,12,31) - DATE(Selected_Year - 1,12,31),DAY(EOMONTH(DATE(Selected_Year,Selected_period,1),0)))</f>
        <v>365</v>
      </c>
    </row>
    <row r="23" spans="4:14" x14ac:dyDescent="0.3">
      <c r="D23" s="64" t="s">
        <v>111</v>
      </c>
      <c r="E23" s="155" cm="1">
        <f t="array" aca="1" ref="E23" ca="1">IF(Selected_Year=YEAR(current_date),
     IF(Selected_period="Total Year", current_date-DATE(Selected_Year-1,12,31),
        IF(Selected_period=MONTH(current_date),DAY(current_date),
           IF(Selected_period&lt;MONTH(current_date),E22,0))),
  IF(Selected_Year&lt;YEAR(current_date),E22,0))</f>
        <v>365</v>
      </c>
    </row>
    <row r="24" spans="4:14" x14ac:dyDescent="0.3">
      <c r="D24" s="64" t="s">
        <v>112</v>
      </c>
      <c r="E24" s="156">
        <f ca="1">E23/E22</f>
        <v>1</v>
      </c>
    </row>
    <row r="25" spans="4:14" x14ac:dyDescent="0.3">
      <c r="D25" s="64" t="s">
        <v>113</v>
      </c>
      <c r="E25" s="157">
        <f ca="1">F41-(J41+N41)</f>
        <v>330</v>
      </c>
    </row>
    <row r="26" spans="4:14" x14ac:dyDescent="0.3">
      <c r="D26" s="65" t="s">
        <v>53</v>
      </c>
      <c r="E26" s="155" t="str">
        <f ca="1">IF(E25&gt;=0, "off tracked income left to be allocated", "allocated not covered by income")</f>
        <v>off tracked income left to be allocated</v>
      </c>
    </row>
    <row r="27" spans="4:14" ht="15" thickBot="1" x14ac:dyDescent="0.35">
      <c r="D27" s="151" t="s">
        <v>114</v>
      </c>
      <c r="E27" s="158">
        <f ca="1">IFERROR(IF(savings_rate_calculation_type="% allocated to savings",N41/F41, (F41-J41)/F41),"-")</f>
        <v>0.24229074889867841</v>
      </c>
    </row>
    <row r="32" spans="4:14" x14ac:dyDescent="0.3">
      <c r="D32" s="127" t="s">
        <v>90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6"/>
    </row>
    <row r="34" spans="4:14" x14ac:dyDescent="0.3">
      <c r="D34" s="128" t="s">
        <v>6</v>
      </c>
      <c r="E34" s="128" t="s">
        <v>34</v>
      </c>
      <c r="F34" s="128" t="s">
        <v>35</v>
      </c>
      <c r="H34" s="128" t="s">
        <v>12</v>
      </c>
      <c r="I34" s="128" t="s">
        <v>34</v>
      </c>
      <c r="J34" s="128" t="s">
        <v>35</v>
      </c>
      <c r="L34" s="128" t="s">
        <v>16</v>
      </c>
      <c r="M34" s="128" t="s">
        <v>34</v>
      </c>
      <c r="N34" s="128" t="s">
        <v>35</v>
      </c>
    </row>
    <row r="35" spans="4:14" x14ac:dyDescent="0.3">
      <c r="D35" s="12">
        <v>1</v>
      </c>
      <c r="E35" s="12" t="str" cm="1">
        <f t="array" aca="1" ref="E35" ca="1">IF(F35="","",INDEX(Budget_Dashboard!$J:$J,MATCH(income_header_row+Calculations!D35,Budget_Dashboard!$X:$X,0)))</f>
        <v>Employment(Net)</v>
      </c>
      <c r="F35" s="130" cm="1">
        <f t="array" aca="1" ref="F35" ca="1">IF(D35&gt;COUNTA(Income[]),"",
            IF(INDEX(Budget_Dashboard!$K:$K,MATCH(income_header_row+Calculations!D35,Budget_Dashboard!$X:$X,0))=0,"",
                  INDEX(Budget_Dashboard!$K:$K,MATCH(income_header_row+Calculations!D35,Budget_Dashboard!$X:$X,0))))</f>
        <v>6500</v>
      </c>
      <c r="H35" s="12">
        <v>1</v>
      </c>
      <c r="I35" s="12" t="str" cm="1">
        <f t="array" aca="1" ref="I35" ca="1">IF(J35="","",INDEX(Budget_Dashboard!$J:$J,MATCH(expenses_header_row+Calculations!H35,Budget_Dashboard!$X:$X,0)))</f>
        <v>Groceries</v>
      </c>
      <c r="J35" s="130" cm="1">
        <f t="array" aca="1" ref="J35" ca="1">IF(H35&gt;COUNTA(Expenses[]),"",
            IF(INDEX(Budget_Dashboard!$K:$K,MATCH(expenses_header_row+Calculations!H35,Budget_Dashboard!$X:$X,0))=0,"",
                  INDEX(Budget_Dashboard!$K:$K,MATCH(expenses_header_row+Calculations!H35,Budget_Dashboard!$X:$X,0))))</f>
        <v>2300</v>
      </c>
      <c r="L35" s="12">
        <v>1</v>
      </c>
      <c r="M35" s="12" t="str" cm="1">
        <f t="array" aca="1" ref="M35" ca="1">IF(N35="","",INDEX(Budget_Dashboard!$J:$J,MATCH(Savings_header_row+Calculations!L35,Budget_Dashboard!$X:$X,0)))</f>
        <v>Emergency Fund</v>
      </c>
      <c r="N35" s="130" cm="1">
        <f t="array" aca="1" ref="N35" ca="1">IF(L35&gt;COUNTA(Savings[]),"",
            IF(INDEX(Budget_Dashboard!$K:$K,MATCH(Savings_header_row+Calculations!L35,Budget_Dashboard!$X:$X,0))=0,"",
                  INDEX(Budget_Dashboard!$K:$K,MATCH(Savings_header_row+Calculations!L35,Budget_Dashboard!$X:$X,0))))</f>
        <v>1100</v>
      </c>
    </row>
    <row r="36" spans="4:14" x14ac:dyDescent="0.3">
      <c r="D36" s="12">
        <v>2</v>
      </c>
      <c r="E36" s="12" t="str" cm="1">
        <f t="array" aca="1" ref="E36" ca="1">IF(F36="","",INDEX(Budget_Dashboard!$J:$J,MATCH(income_header_row+Calculations!D36,Budget_Dashboard!$X:$X,0)))</f>
        <v>Side Hustles(net)</v>
      </c>
      <c r="F36" s="130" cm="1">
        <f t="array" aca="1" ref="F36" ca="1">IF(D36&gt;COUNTA(Income[]),"",
            IF(INDEX(Budget_Dashboard!$K:$K,MATCH(income_header_row+Calculations!D36,Budget_Dashboard!$X:$X,0))=0,"",
                  INDEX(Budget_Dashboard!$K:$K,MATCH(income_header_row+Calculations!D36,Budget_Dashboard!$X:$X,0))))</f>
        <v>4500</v>
      </c>
      <c r="H36" s="12">
        <v>2</v>
      </c>
      <c r="I36" s="12" t="str" cm="1">
        <f t="array" aca="1" ref="I36" ca="1">IF(J36="","",INDEX(Budget_Dashboard!$J:$J,MATCH(expenses_header_row+Calculations!H36,Budget_Dashboard!$X:$X,0)))</f>
        <v>Housing</v>
      </c>
      <c r="J36" s="130" cm="1">
        <f t="array" aca="1" ref="J36" ca="1">IF(H36&gt;COUNTA(Expenses[]),"",
            IF(INDEX(Budget_Dashboard!$K:$K,MATCH(expenses_header_row+Calculations!H36,Budget_Dashboard!$X:$X,0))=0,"",
                  INDEX(Budget_Dashboard!$K:$K,MATCH(expenses_header_row+Calculations!H36,Budget_Dashboard!$X:$X,0))))</f>
        <v>1800</v>
      </c>
      <c r="L36" s="12">
        <v>2</v>
      </c>
      <c r="M36" s="12" t="str" cm="1">
        <f t="array" aca="1" ref="M36" ca="1">IF(N36="","",INDEX(Budget_Dashboard!$J:$J,MATCH(Savings_header_row+Calculations!L36,Budget_Dashboard!$X:$X,0)))</f>
        <v>Retirement Account</v>
      </c>
      <c r="N36" s="130" cm="1">
        <f t="array" aca="1" ref="N36" ca="1">IF(L36&gt;COUNTA(Savings[]),"",
            IF(INDEX(Budget_Dashboard!$K:$K,MATCH(Savings_header_row+Calculations!L36,Budget_Dashboard!$X:$X,0))=0,"",
                  INDEX(Budget_Dashboard!$K:$K,MATCH(Savings_header_row+Calculations!L36,Budget_Dashboard!$X:$X,0))))</f>
        <v>850</v>
      </c>
    </row>
    <row r="37" spans="4:14" x14ac:dyDescent="0.3">
      <c r="D37" s="12">
        <v>3</v>
      </c>
      <c r="E37" s="12" t="str" cm="1">
        <f t="array" aca="1" ref="E37" ca="1">IF(F37="","",INDEX(Budget_Dashboard!$J:$J,MATCH(income_header_row+Calculations!D37,Budget_Dashboard!$X:$X,0)))</f>
        <v>Dividends</v>
      </c>
      <c r="F37" s="130" cm="1">
        <f t="array" aca="1" ref="F37" ca="1">IF(D37&gt;COUNTA(Income[]),"",
            IF(INDEX(Budget_Dashboard!$K:$K,MATCH(income_header_row+Calculations!D37,Budget_Dashboard!$X:$X,0))=0,"",
                  INDEX(Budget_Dashboard!$K:$K,MATCH(income_header_row+Calculations!D37,Budget_Dashboard!$X:$X,0))))</f>
        <v>350</v>
      </c>
      <c r="H37" s="12">
        <v>3</v>
      </c>
      <c r="I37" s="12" t="str" cm="1">
        <f t="array" aca="1" ref="I37" ca="1">IF(J37="","",INDEX(Budget_Dashboard!$J:$J,MATCH(expenses_header_row+Calculations!H37,Budget_Dashboard!$X:$X,0)))</f>
        <v>Utilities</v>
      </c>
      <c r="J37" s="130" cm="1">
        <f t="array" aca="1" ref="J37" ca="1">IF(H37&gt;COUNTA(Expenses[]),"",
            IF(INDEX(Budget_Dashboard!$K:$K,MATCH(expenses_header_row+Calculations!H37,Budget_Dashboard!$X:$X,0))=0,"",
                  INDEX(Budget_Dashboard!$K:$K,MATCH(expenses_header_row+Calculations!H37,Budget_Dashboard!$X:$X,0))))</f>
        <v>1400</v>
      </c>
      <c r="L37" s="12">
        <v>3</v>
      </c>
      <c r="M37" s="12" t="str" cm="1">
        <f t="array" aca="1" ref="M37" ca="1">IF(N37="","",INDEX(Budget_Dashboard!$J:$J,MATCH(Savings_header_row+Calculations!L37,Budget_Dashboard!$X:$X,0)))</f>
        <v>Stock Portfolio</v>
      </c>
      <c r="N37" s="130" cm="1">
        <f t="array" aca="1" ref="N37" ca="1">IF(L37&gt;COUNTA(Savings[]),"",
            IF(INDEX(Budget_Dashboard!$K:$K,MATCH(Savings_header_row+Calculations!L37,Budget_Dashboard!$X:$X,0))=0,"",
                  INDEX(Budget_Dashboard!$K:$K,MATCH(Savings_header_row+Calculations!L37,Budget_Dashboard!$X:$X,0))))</f>
        <v>300</v>
      </c>
    </row>
    <row r="38" spans="4:14" x14ac:dyDescent="0.3">
      <c r="D38" s="12">
        <v>4</v>
      </c>
      <c r="E38" s="12" t="str" cm="1">
        <f t="array" ref="E38">IF(F38="","",INDEX(Budget_Dashboard!$J:$J,MATCH(income_header_row+Calculations!D38,Budget_Dashboard!$X:$X,0)))</f>
        <v/>
      </c>
      <c r="F38" s="130" t="str" cm="1">
        <f t="array" ref="F38">IF(D38&gt;COUNTA(Income[]),"",
            IF(INDEX(Budget_Dashboard!$K:$K,MATCH(income_header_row+Calculations!D38,Budget_Dashboard!$X:$X,0))=0,"",
                  INDEX(Budget_Dashboard!$K:$K,MATCH(income_header_row+Calculations!D38,Budget_Dashboard!$X:$X,0))))</f>
        <v/>
      </c>
      <c r="H38" s="12">
        <v>4</v>
      </c>
      <c r="I38" s="12" t="str" cm="1">
        <f t="array" aca="1" ref="I38" ca="1">IF(J38="","",INDEX(Budget_Dashboard!$J:$J,MATCH(expenses_header_row+Calculations!H38,Budget_Dashboard!$X:$X,0)))</f>
        <v>Body care</v>
      </c>
      <c r="J38" s="130" cm="1">
        <f t="array" aca="1" ref="J38" ca="1">IF(H38&gt;COUNTA(Expenses[]),"",
            IF(INDEX(Budget_Dashboard!$K:$K,MATCH(expenses_header_row+Calculations!H38,Budget_Dashboard!$X:$X,0))=0,"",
                  INDEX(Budget_Dashboard!$K:$K,MATCH(expenses_header_row+Calculations!H38,Budget_Dashboard!$X:$X,0))))</f>
        <v>970</v>
      </c>
      <c r="L38" s="12">
        <v>4</v>
      </c>
      <c r="M38" s="12" t="str" cm="1">
        <f t="array" aca="1" ref="M38" ca="1">IF(N38="","",INDEX(Budget_Dashboard!$J:$J,MATCH(Savings_header_row+Calculations!L38,Budget_Dashboard!$X:$X,0)))</f>
        <v>Sinking Fund</v>
      </c>
      <c r="N38" s="130" cm="1">
        <f t="array" aca="1" ref="N38" ca="1">IF(L38&gt;COUNTA(Savings[]),"",
            IF(INDEX(Budget_Dashboard!$K:$K,MATCH(Savings_header_row+Calculations!L38,Budget_Dashboard!$X:$X,0))=0,"",
                  INDEX(Budget_Dashboard!$K:$K,MATCH(Savings_header_row+Calculations!L38,Budget_Dashboard!$X:$X,0))))</f>
        <v>250</v>
      </c>
    </row>
    <row r="39" spans="4:14" x14ac:dyDescent="0.3">
      <c r="D39" s="12">
        <v>5</v>
      </c>
      <c r="E39" s="12" t="str" cm="1">
        <f t="array" ref="E39">IF(F39="","",INDEX(Budget_Dashboard!$J:$J,MATCH(income_header_row+Calculations!D39,Budget_Dashboard!$X:$X,0)))</f>
        <v/>
      </c>
      <c r="F39" s="130" t="str" cm="1">
        <f t="array" ref="F39">IF(D39&gt;COUNTA(Income[]),"",
            IF(INDEX(Budget_Dashboard!$K:$K,MATCH(income_header_row+Calculations!D39,Budget_Dashboard!$X:$X,0))=0,"",
                  INDEX(Budget_Dashboard!$K:$K,MATCH(income_header_row+Calculations!D39,Budget_Dashboard!$X:$X,0))))</f>
        <v/>
      </c>
      <c r="H39" s="12">
        <v>5</v>
      </c>
      <c r="I39" s="12" t="str" cm="1">
        <f t="array" aca="1" ref="I39" ca="1">IF(J39="","",INDEX(Budget_Dashboard!$J:$J,MATCH(expenses_header_row+Calculations!H39,Budget_Dashboard!$X:$X,0)))</f>
        <v>Transport</v>
      </c>
      <c r="J39" s="130" cm="1">
        <f t="array" aca="1" ref="J39" ca="1">IF(H39&gt;COUNTA(Expenses[]),"",
            IF(INDEX(Budget_Dashboard!$K:$K,MATCH(expenses_header_row+Calculations!H39,Budget_Dashboard!$X:$X,0))=0,"",
                  INDEX(Budget_Dashboard!$K:$K,MATCH(expenses_header_row+Calculations!H39,Budget_Dashboard!$X:$X,0))))</f>
        <v>800</v>
      </c>
      <c r="L39" s="12">
        <v>5</v>
      </c>
      <c r="M39" s="12" t="str" cm="1">
        <f t="array" aca="1" ref="M39" ca="1">IF(N39="","",INDEX(Budget_Dashboard!$J:$J,MATCH(Savings_header_row+Calculations!L39,Budget_Dashboard!$X:$X,0)))</f>
        <v>Sinking fund rest</v>
      </c>
      <c r="N39" s="130" cm="1">
        <f t="array" aca="1" ref="N39" ca="1">IF(L39&gt;COUNTA(Savings[]),"",
            IF(INDEX(Budget_Dashboard!$K:$K,MATCH(Savings_header_row+Calculations!L39,Budget_Dashboard!$X:$X,0))=0,"",
                  INDEX(Budget_Dashboard!$K:$K,MATCH(Savings_header_row+Calculations!L39,Budget_Dashboard!$X:$X,0))))</f>
        <v>250</v>
      </c>
    </row>
    <row r="40" spans="4:14" ht="15" thickBot="1" x14ac:dyDescent="0.35">
      <c r="D40" s="135">
        <v>6</v>
      </c>
      <c r="E40" s="135"/>
      <c r="F40" s="136" t="str" cm="1">
        <f t="array" ref="F40">IF(D40&gt;COUNTA(Income[]),"",
            IF(INDEX(Budget_Dashboard!$K:$K,MATCH(income_header_row+Calculations!D40,Budget_Dashboard!$X:$X,0))=0,"",
                  INDEX(Budget_Dashboard!$K:$K,MATCH(income_header_row+Calculations!D40,Budget_Dashboard!$X:$X,0))))</f>
        <v/>
      </c>
      <c r="H40" s="135">
        <v>6</v>
      </c>
      <c r="I40" s="135"/>
      <c r="J40" s="136" cm="1">
        <f t="array" aca="1" ref="J40" ca="1">IF(H40&gt;COUNTA(Expenses[]),"",
            IF(INDEX(Budget_Dashboard!$K:$K,MATCH(expenses_header_row+Calculations!H40,Budget_Dashboard!$X:$X,0))=0,"",
                  INDEX(Budget_Dashboard!$K:$K,MATCH(expenses_header_row+Calculations!H40,Budget_Dashboard!$X:$X,0))))</f>
        <v>600</v>
      </c>
      <c r="L40" s="135">
        <v>6</v>
      </c>
      <c r="M40" s="135"/>
      <c r="N40" s="136" t="str" cm="1">
        <f t="array" ref="N40">IF(L40&gt;COUNTA(Savings[]),"",
            IF(INDEX(Budget_Dashboard!$K:$K,MATCH(Savings_header_row+Calculations!L40,Budget_Dashboard!$X:$X,0))=0,"",
                  INDEX(Budget_Dashboard!$K:$K,MATCH(Savings_header_row+Calculations!L40,Budget_Dashboard!$X:$X,0))))</f>
        <v/>
      </c>
    </row>
    <row r="41" spans="4:14" ht="15" thickTop="1" x14ac:dyDescent="0.3">
      <c r="D41" s="12"/>
      <c r="E41" s="129" t="s">
        <v>8</v>
      </c>
      <c r="F41" s="131" cm="1">
        <f t="array" aca="1" ref="F41" ca="1" xml:space="preserve"> INDEX(Budget_Dashboard!$K:$K,MATCH(income_total_row,Budget_Dashboard!$X:$X,0))</f>
        <v>11350</v>
      </c>
      <c r="H41" s="12"/>
      <c r="I41" s="129" t="s">
        <v>8</v>
      </c>
      <c r="J41" s="131" cm="1">
        <f t="array" aca="1" ref="J41" ca="1">INDEX(Budget_Dashboard!$K:$K,MATCH(expenses_total_row,Budget_Dashboard!$X:$X,0))</f>
        <v>8270</v>
      </c>
      <c r="L41" s="12"/>
      <c r="M41" s="129" t="s">
        <v>8</v>
      </c>
      <c r="N41" s="131" cm="1">
        <f t="array" aca="1" ref="N41" ca="1">INDEX(Budget_Dashboard!$K:$K,MATCH(savings_total_row,Budget_Dashboard!$X:$X,0))</f>
        <v>2750</v>
      </c>
    </row>
    <row r="45" spans="4:14" x14ac:dyDescent="0.3">
      <c r="D45" s="127" t="s">
        <v>91</v>
      </c>
      <c r="E45" s="125"/>
      <c r="F45" s="125"/>
      <c r="G45" s="125"/>
      <c r="H45" s="125"/>
      <c r="I45" s="125"/>
      <c r="J45" s="125"/>
      <c r="K45" s="125"/>
      <c r="L45" s="125"/>
      <c r="M45" s="125"/>
      <c r="N45" s="126"/>
    </row>
    <row r="47" spans="4:14" x14ac:dyDescent="0.3">
      <c r="D47" s="10" t="s">
        <v>104</v>
      </c>
      <c r="E47" t="b">
        <v>1</v>
      </c>
    </row>
    <row r="48" spans="4:14" x14ac:dyDescent="0.3">
      <c r="D48" s="10" t="s">
        <v>105</v>
      </c>
      <c r="E48" t="b">
        <v>1</v>
      </c>
    </row>
    <row r="49" spans="4:18" x14ac:dyDescent="0.3">
      <c r="D49" s="10" t="s">
        <v>106</v>
      </c>
      <c r="E49" t="b">
        <v>1</v>
      </c>
    </row>
    <row r="50" spans="4:18" x14ac:dyDescent="0.3">
      <c r="D50" s="10" t="s">
        <v>107</v>
      </c>
      <c r="E50" t="b">
        <v>1</v>
      </c>
    </row>
    <row r="52" spans="4:18" x14ac:dyDescent="0.3">
      <c r="L52" s="10"/>
      <c r="M52" s="179" t="s">
        <v>100</v>
      </c>
      <c r="N52" s="179"/>
      <c r="O52" s="179"/>
      <c r="P52" s="180" t="s">
        <v>100</v>
      </c>
      <c r="Q52" s="180"/>
      <c r="R52" s="180"/>
    </row>
    <row r="53" spans="4:18" s="129" customFormat="1" x14ac:dyDescent="0.3">
      <c r="D53" s="128" t="s">
        <v>92</v>
      </c>
      <c r="E53" s="128" t="s">
        <v>33</v>
      </c>
      <c r="F53" s="128" t="s">
        <v>93</v>
      </c>
      <c r="G53" s="128" t="s">
        <v>94</v>
      </c>
      <c r="H53" s="128" t="s">
        <v>95</v>
      </c>
      <c r="I53" s="128" t="s">
        <v>96</v>
      </c>
      <c r="J53" s="128" t="s">
        <v>98</v>
      </c>
      <c r="K53" s="128" t="s">
        <v>99</v>
      </c>
      <c r="L53" s="128" t="s">
        <v>97</v>
      </c>
      <c r="M53" s="128" t="s">
        <v>101</v>
      </c>
      <c r="N53" s="128" t="s">
        <v>102</v>
      </c>
      <c r="O53" s="128" t="s">
        <v>103</v>
      </c>
      <c r="P53" s="128" t="s">
        <v>101</v>
      </c>
      <c r="Q53" s="128" t="s">
        <v>102</v>
      </c>
      <c r="R53" s="128" t="s">
        <v>103</v>
      </c>
    </row>
    <row r="54" spans="4:18" s="129" customFormat="1" x14ac:dyDescent="0.3">
      <c r="D54" s="181">
        <f>DATE(Selected_Year,1,1)</f>
        <v>44562</v>
      </c>
      <c r="E54" s="74" t="s">
        <v>6</v>
      </c>
      <c r="F54" s="74">
        <f>MONTH(D54)</f>
        <v>1</v>
      </c>
      <c r="G54" s="74">
        <f>IF(Selected_period="Total Year",1,IF(Selected_period=cc_month_no,1,0))</f>
        <v>1</v>
      </c>
      <c r="H54" s="74">
        <f>1*$E$47</f>
        <v>1</v>
      </c>
      <c r="I54" s="74">
        <f>1*$E$50</f>
        <v>1</v>
      </c>
      <c r="J54" s="107" cm="1">
        <f t="array" ref="J54">SUM(Tracking[Amount]*(Tracking[Type]=cc_type)*(YEAR(Tracking[Effective Date])=Selected_Year) * (MONTH(Tracking[Effective Date])=cc_month_no))</f>
        <v>5800</v>
      </c>
      <c r="K54" s="107" cm="1">
        <f t="array" aca="1" ref="K54" ca="1" xml:space="preserve"> INDEX(Budget_Planning!$E:$DY,income_total_row, MATCH(DATE(Selected_Year,cc_month_no,1), Budget_Planning!$E$9:$DY$9, 0))</f>
        <v>4650</v>
      </c>
      <c r="L54" s="107">
        <f ca="1">cc_budget-cc_tracked</f>
        <v>-1150</v>
      </c>
      <c r="M54" s="139">
        <f ca="1">cc_in_focus*cc_show_type*MIN(cc_tracked,cc_budget)</f>
        <v>4650</v>
      </c>
      <c r="N54" s="139">
        <f ca="1">cc_in_focus*cc_show_type*cc_show_remaining_budget*IF(cc_delta&gt;0,cc_delta,0)</f>
        <v>0</v>
      </c>
      <c r="O54" s="139">
        <f ca="1">cc_in_focus*cc_show_type*IF(cc_delta&lt;0,ABS(cc_delta),0)</f>
        <v>1150</v>
      </c>
      <c r="P54" s="139">
        <f ca="1">NOT(cc_in_focus)*cc_show_type*MIN(cc_tracked,cc_budget)</f>
        <v>0</v>
      </c>
      <c r="Q54" s="139">
        <f ca="1">NOT(cc_in_focus)*cc_show_type*cc_show_remaining_budget*IF(cc_delta&gt;0,cc_delta,0)</f>
        <v>0</v>
      </c>
      <c r="R54" s="139">
        <f ca="1">NOT(cc_in_focus)*cc_show_type*IF(cc_delta&lt;0,ABS(cc_delta),0)</f>
        <v>0</v>
      </c>
    </row>
    <row r="55" spans="4:18" x14ac:dyDescent="0.3">
      <c r="D55" s="181"/>
      <c r="E55" s="74" t="s">
        <v>12</v>
      </c>
      <c r="F55" s="74">
        <f>MONTH(D54)</f>
        <v>1</v>
      </c>
      <c r="G55" s="74">
        <f>IF(Selected_period="Total Year",1,IF(Selected_period=cc_month_no,1,0))</f>
        <v>1</v>
      </c>
      <c r="H55" s="74">
        <f>1*$E$48</f>
        <v>1</v>
      </c>
      <c r="I55" s="74">
        <f t="shared" ref="I55:I56" si="0">1*$E$50</f>
        <v>1</v>
      </c>
      <c r="J55" s="107" cm="1">
        <f t="array" ref="J55">SUM(Tracking[Amount]*(Tracking[Type]=cc_type)*(YEAR(Tracking[Effective Date])=Selected_Year) * (MONTH(Tracking[Effective Date])=cc_month_no))</f>
        <v>5050</v>
      </c>
      <c r="K55" s="107" cm="1">
        <f t="array" aca="1" ref="K55" ca="1" xml:space="preserve"> INDEX(Budget_Planning!$E:$DY,expenses_total_row, MATCH(DATE(Selected_Year,cc_month_no,1), Budget_Planning!$E$9:$DY$9, 0))</f>
        <v>2900</v>
      </c>
      <c r="L55" s="107">
        <f ca="1">cc_budget-cc_tracked</f>
        <v>-400</v>
      </c>
      <c r="M55" s="139">
        <f ca="1">cc_in_focus*cc_show_type*MIN(cc_tracked,cc_budget)</f>
        <v>4650</v>
      </c>
      <c r="N55" s="139">
        <f ca="1">cc_in_focus*cc_show_type*cc_show_remaining_budget*IF(cc_delta&gt;0,cc_delta,0)</f>
        <v>0</v>
      </c>
      <c r="O55" s="139">
        <f ca="1">cc_in_focus*cc_show_type*IF(cc_delta&lt;0,ABS(cc_delta),0)</f>
        <v>400</v>
      </c>
      <c r="P55" s="139">
        <f ca="1">NOT(cc_in_focus)*cc_show_type*MIN(cc_tracked,cc_budget)</f>
        <v>0</v>
      </c>
      <c r="Q55" s="139">
        <f ca="1">NOT(cc_in_focus)*cc_show_type*cc_show_remaining_budget*IF(cc_delta&gt;0,cc_delta,0)</f>
        <v>0</v>
      </c>
      <c r="R55" s="139">
        <f ca="1">NOT(cc_in_focus)*cc_show_type*IF(cc_delta&lt;0,ABS(cc_delta),0)</f>
        <v>0</v>
      </c>
    </row>
    <row r="56" spans="4:18" x14ac:dyDescent="0.3">
      <c r="D56" s="181"/>
      <c r="E56" s="74" t="s">
        <v>16</v>
      </c>
      <c r="F56" s="74">
        <f>MONTH(D54)</f>
        <v>1</v>
      </c>
      <c r="G56" s="74">
        <f>IF(Selected_period="Total Year",1,IF(Selected_period=cc_month_no,1,0))</f>
        <v>1</v>
      </c>
      <c r="H56" s="74">
        <f>1*$E$49</f>
        <v>1</v>
      </c>
      <c r="I56" s="74">
        <f t="shared" si="0"/>
        <v>1</v>
      </c>
      <c r="J56" s="107" cm="1">
        <f t="array" ref="J56">SUM(Tracking[Amount]*(Tracking[Type]=cc_type)*(YEAR(Tracking[Effective Date])=Selected_Year) * (MONTH(Tracking[Effective Date])=cc_month_no))</f>
        <v>1550</v>
      </c>
      <c r="K56" s="107" cm="1">
        <f t="array" aca="1" ref="K56" ca="1" xml:space="preserve"> INDEX(Budget_Planning!$E:$DY,savings_total_row, MATCH(DATE(Selected_Year,cc_month_no,1), Budget_Planning!$E$9:$DY$9, 0))</f>
        <v>1750</v>
      </c>
      <c r="L56" s="107">
        <f ca="1">cc_budget-cc_tracked</f>
        <v>3100</v>
      </c>
      <c r="M56" s="139">
        <f ca="1">cc_in_focus*cc_show_type*MIN(cc_tracked,cc_budget)</f>
        <v>1550</v>
      </c>
      <c r="N56" s="139">
        <f ca="1">cc_in_focus*cc_show_type*cc_show_remaining_budget*IF(cc_delta&gt;0,cc_delta,0)</f>
        <v>3100</v>
      </c>
      <c r="O56" s="139">
        <f ca="1">cc_in_focus*cc_show_type*IF(cc_delta&lt;0,ABS(cc_delta),0)</f>
        <v>0</v>
      </c>
      <c r="P56" s="139">
        <f ca="1">NOT(cc_in_focus)*cc_show_type*MIN(cc_tracked,cc_budget)</f>
        <v>0</v>
      </c>
      <c r="Q56" s="139">
        <f ca="1">NOT(cc_in_focus)*cc_show_type*cc_show_remaining_budget*IF(cc_delta&gt;0,cc_delta,0)</f>
        <v>0</v>
      </c>
      <c r="R56" s="139">
        <f ca="1">NOT(cc_in_focus)*cc_show_type*IF(cc_delta&lt;0,ABS(cc_delta),0)</f>
        <v>0</v>
      </c>
    </row>
    <row r="57" spans="4:18" x14ac:dyDescent="0.3">
      <c r="D57" s="182"/>
      <c r="E57" s="138"/>
      <c r="F57" s="138"/>
      <c r="G57" s="74"/>
      <c r="H57" s="138"/>
      <c r="I57" s="138"/>
      <c r="J57" s="140"/>
      <c r="K57" s="140"/>
      <c r="L57" s="140"/>
      <c r="M57" s="138"/>
      <c r="N57" s="138"/>
      <c r="O57" s="138"/>
      <c r="P57" s="138"/>
      <c r="Q57" s="138"/>
      <c r="R57" s="138"/>
    </row>
    <row r="58" spans="4:18" x14ac:dyDescent="0.3">
      <c r="D58" s="183">
        <f>DATE(Selected_Year,2,1)</f>
        <v>44593</v>
      </c>
      <c r="E58" s="137" t="s">
        <v>6</v>
      </c>
      <c r="F58" s="74">
        <f t="shared" ref="F58" si="1">MONTH(D58)</f>
        <v>2</v>
      </c>
      <c r="G58" s="137">
        <f>IF(Selected_period="Total Year",1,IF(Selected_period=cc_month_no,1,0))</f>
        <v>1</v>
      </c>
      <c r="H58" s="74">
        <f t="shared" ref="H58" si="2">1*$E$47</f>
        <v>1</v>
      </c>
      <c r="I58" s="74">
        <f t="shared" ref="I58:I100" si="3">1*$E$50</f>
        <v>1</v>
      </c>
      <c r="J58" s="107" cm="1">
        <f t="array" ref="J58">SUM(Tracking[Amount]*(Tracking[Type]=cc_type)*(YEAR(Tracking[Effective Date])=Selected_Year) * (MONTH(Tracking[Effective Date])=cc_month_no))</f>
        <v>4500</v>
      </c>
      <c r="K58" s="107" cm="1">
        <f t="array" aca="1" ref="K58" ca="1" xml:space="preserve"> INDEX(Budget_Planning!$E:$DY,income_total_row, MATCH(DATE(Selected_Year,cc_month_no,1), Budget_Planning!$E$9:$DY$9, 0))</f>
        <v>4550</v>
      </c>
      <c r="L58" s="107">
        <f ca="1">cc_budget-cc_tracked</f>
        <v>150</v>
      </c>
      <c r="M58" s="139">
        <f ca="1">cc_in_focus*cc_show_type*MIN(cc_tracked,cc_budget)</f>
        <v>4500</v>
      </c>
      <c r="N58" s="139">
        <f ca="1">cc_in_focus*cc_show_type*cc_show_remaining_budget*IF(cc_delta&gt;0,cc_delta,0)</f>
        <v>150</v>
      </c>
      <c r="O58" s="139">
        <f ca="1">cc_in_focus*cc_show_type*IF(cc_delta&lt;0,ABS(cc_delta),0)</f>
        <v>0</v>
      </c>
      <c r="P58" s="139">
        <f ca="1">NOT(cc_in_focus)*cc_show_type*MIN(cc_tracked,cc_budget)</f>
        <v>0</v>
      </c>
      <c r="Q58" s="139">
        <f ca="1">NOT(cc_in_focus)*cc_show_type*cc_show_remaining_budget*IF(cc_delta&gt;0,cc_delta,0)</f>
        <v>0</v>
      </c>
      <c r="R58" s="139">
        <f ca="1">NOT(cc_in_focus)*cc_show_type*IF(cc_delta&lt;0,ABS(cc_delta),0)</f>
        <v>0</v>
      </c>
    </row>
    <row r="59" spans="4:18" x14ac:dyDescent="0.3">
      <c r="D59" s="181"/>
      <c r="E59" s="74" t="s">
        <v>12</v>
      </c>
      <c r="F59" s="74">
        <f t="shared" ref="F59" si="4">MONTH(D58)</f>
        <v>2</v>
      </c>
      <c r="G59" s="74">
        <f>IF(Selected_period="Total Year",1,IF(Selected_period=cc_month_no,1,0))</f>
        <v>1</v>
      </c>
      <c r="H59" s="74">
        <f t="shared" ref="H59" si="5">1*$E$48</f>
        <v>1</v>
      </c>
      <c r="I59" s="74">
        <f t="shared" si="3"/>
        <v>1</v>
      </c>
      <c r="J59" s="107" cm="1">
        <f t="array" ref="J59">SUM(Tracking[Amount]*(Tracking[Type]=cc_type)*(YEAR(Tracking[Effective Date])=Selected_Year) * (MONTH(Tracking[Effective Date])=cc_month_no))</f>
        <v>2850</v>
      </c>
      <c r="K59" s="107" cm="1">
        <f t="array" aca="1" ref="K59" ca="1" xml:space="preserve"> INDEX(Budget_Planning!$E:$DY,expenses_total_row, MATCH(DATE(Selected_Year,cc_month_no,1), Budget_Planning!$E$9:$DY$9, 0))</f>
        <v>2900</v>
      </c>
      <c r="L59" s="107">
        <f ca="1">cc_budget-cc_tracked</f>
        <v>1800</v>
      </c>
      <c r="M59" s="139">
        <f ca="1">cc_in_focus*cc_show_type*MIN(cc_tracked,cc_budget)</f>
        <v>2850</v>
      </c>
      <c r="N59" s="139">
        <f ca="1">cc_in_focus*cc_show_type*cc_show_remaining_budget*IF(cc_delta&gt;0,cc_delta,0)</f>
        <v>1800</v>
      </c>
      <c r="O59" s="139">
        <f ca="1">cc_in_focus*cc_show_type*IF(cc_delta&lt;0,ABS(cc_delta),0)</f>
        <v>0</v>
      </c>
      <c r="P59" s="139">
        <f ca="1">NOT(cc_in_focus)*cc_show_type*MIN(cc_tracked,cc_budget)</f>
        <v>0</v>
      </c>
      <c r="Q59" s="139">
        <f ca="1">NOT(cc_in_focus)*cc_show_type*cc_show_remaining_budget*IF(cc_delta&gt;0,cc_delta,0)</f>
        <v>0</v>
      </c>
      <c r="R59" s="139">
        <f ca="1">NOT(cc_in_focus)*cc_show_type*IF(cc_delta&lt;0,ABS(cc_delta),0)</f>
        <v>0</v>
      </c>
    </row>
    <row r="60" spans="4:18" x14ac:dyDescent="0.3">
      <c r="D60" s="181"/>
      <c r="E60" s="74" t="s">
        <v>16</v>
      </c>
      <c r="F60" s="74">
        <f t="shared" ref="F60" si="6">MONTH(D58)</f>
        <v>2</v>
      </c>
      <c r="G60" s="74">
        <f>IF(Selected_period="Total Year",1,IF(Selected_period=cc_month_no,1,0))</f>
        <v>1</v>
      </c>
      <c r="H60" s="74">
        <f t="shared" ref="H60" si="7">1*$E$49</f>
        <v>1</v>
      </c>
      <c r="I60" s="74">
        <f t="shared" si="3"/>
        <v>1</v>
      </c>
      <c r="J60" s="107" cm="1">
        <f t="array" ref="J60">SUM(Tracking[Amount]*(Tracking[Type]=cc_type)*(YEAR(Tracking[Effective Date])=Selected_Year) * (MONTH(Tracking[Effective Date])=cc_month_no))</f>
        <v>700</v>
      </c>
      <c r="K60" s="107" cm="1">
        <f t="array" aca="1" ref="K60" ca="1" xml:space="preserve"> INDEX(Budget_Planning!$E:$DY,savings_total_row, MATCH(DATE(Selected_Year,cc_month_no,1), Budget_Planning!$E$9:$DY$9, 0))</f>
        <v>1650</v>
      </c>
      <c r="L60" s="107">
        <f ca="1">cc_budget-cc_tracked</f>
        <v>3950</v>
      </c>
      <c r="M60" s="139">
        <f ca="1">cc_in_focus*cc_show_type*MIN(cc_tracked,cc_budget)</f>
        <v>700</v>
      </c>
      <c r="N60" s="139">
        <f ca="1">cc_in_focus*cc_show_type*cc_show_remaining_budget*IF(cc_delta&gt;0,cc_delta,0)</f>
        <v>3950</v>
      </c>
      <c r="O60" s="139">
        <f ca="1">cc_in_focus*cc_show_type*IF(cc_delta&lt;0,ABS(cc_delta),0)</f>
        <v>0</v>
      </c>
      <c r="P60" s="139">
        <f ca="1">NOT(cc_in_focus)*cc_show_type*MIN(cc_tracked,cc_budget)</f>
        <v>0</v>
      </c>
      <c r="Q60" s="139">
        <f ca="1">NOT(cc_in_focus)*cc_show_type*cc_show_remaining_budget*IF(cc_delta&gt;0,cc_delta,0)</f>
        <v>0</v>
      </c>
      <c r="R60" s="139">
        <f ca="1">NOT(cc_in_focus)*cc_show_type*IF(cc_delta&lt;0,ABS(cc_delta),0)</f>
        <v>0</v>
      </c>
    </row>
    <row r="61" spans="4:18" x14ac:dyDescent="0.3">
      <c r="D61" s="182"/>
      <c r="E61" s="138"/>
      <c r="F61" s="138"/>
      <c r="G61" s="138"/>
      <c r="H61" s="138"/>
      <c r="I61" s="138"/>
      <c r="J61" s="140"/>
      <c r="K61" s="140"/>
      <c r="L61" s="140"/>
      <c r="M61" s="138"/>
      <c r="N61" s="138"/>
      <c r="O61" s="138"/>
      <c r="P61" s="138"/>
      <c r="Q61" s="138"/>
      <c r="R61" s="138"/>
    </row>
    <row r="62" spans="4:18" x14ac:dyDescent="0.3">
      <c r="D62" s="183">
        <f>DATE(Selected_Year,3,1)</f>
        <v>44621</v>
      </c>
      <c r="E62" s="137" t="s">
        <v>6</v>
      </c>
      <c r="F62" s="74">
        <f t="shared" ref="F62" si="8">MONTH(D62)</f>
        <v>3</v>
      </c>
      <c r="G62" s="137">
        <f>IF(Selected_period="Total Year",1,IF(Selected_period=cc_month_no,1,0))</f>
        <v>1</v>
      </c>
      <c r="H62" s="74">
        <f t="shared" ref="H62" si="9">1*$E$47</f>
        <v>1</v>
      </c>
      <c r="I62" s="74">
        <f t="shared" ref="I62" si="10">1*$E$50</f>
        <v>1</v>
      </c>
      <c r="J62" s="107" cm="1">
        <f t="array" ref="J62">SUM(Tracking[Amount]*(Tracking[Type]=cc_type)*(YEAR(Tracking[Effective Date])=Selected_Year) * (MONTH(Tracking[Effective Date])=cc_month_no))</f>
        <v>1050</v>
      </c>
      <c r="K62" s="107" cm="1">
        <f t="array" aca="1" ref="K62" ca="1" xml:space="preserve"> INDEX(Budget_Planning!$E:$DY,income_total_row, MATCH(DATE(Selected_Year,cc_month_no,1), Budget_Planning!$E$9:$DY$9, 0))</f>
        <v>4600</v>
      </c>
      <c r="L62" s="107">
        <f ca="1">cc_budget-cc_tracked</f>
        <v>3600</v>
      </c>
      <c r="M62" s="139">
        <f ca="1">cc_in_focus*cc_show_type*MIN(cc_tracked,cc_budget)</f>
        <v>1050</v>
      </c>
      <c r="N62" s="139">
        <f ca="1">cc_in_focus*cc_show_type*cc_show_remaining_budget*IF(cc_delta&gt;0,cc_delta,0)</f>
        <v>3600</v>
      </c>
      <c r="O62" s="139">
        <f ca="1">cc_in_focus*cc_show_type*IF(cc_delta&lt;0,ABS(cc_delta),0)</f>
        <v>0</v>
      </c>
      <c r="P62" s="139">
        <f ca="1">NOT(cc_in_focus)*cc_show_type*MIN(cc_tracked,cc_budget)</f>
        <v>0</v>
      </c>
      <c r="Q62" s="139">
        <f ca="1">NOT(cc_in_focus)*cc_show_type*cc_show_remaining_budget*IF(cc_delta&gt;0,cc_delta,0)</f>
        <v>0</v>
      </c>
      <c r="R62" s="139">
        <f ca="1">NOT(cc_in_focus)*cc_show_type*IF(cc_delta&lt;0,ABS(cc_delta),0)</f>
        <v>0</v>
      </c>
    </row>
    <row r="63" spans="4:18" x14ac:dyDescent="0.3">
      <c r="D63" s="181"/>
      <c r="E63" s="74" t="s">
        <v>12</v>
      </c>
      <c r="F63" s="74">
        <f t="shared" ref="F63" si="11">MONTH(D62)</f>
        <v>3</v>
      </c>
      <c r="G63" s="74">
        <f>IF(Selected_period="Total Year",1,IF(Selected_period=cc_month_no,1,0))</f>
        <v>1</v>
      </c>
      <c r="H63" s="74">
        <f t="shared" ref="H63" si="12">1*$E$48</f>
        <v>1</v>
      </c>
      <c r="I63" s="74">
        <f t="shared" si="3"/>
        <v>1</v>
      </c>
      <c r="J63" s="107" cm="1">
        <f t="array" ref="J63">SUM(Tracking[Amount]*(Tracking[Type]=cc_type)*(YEAR(Tracking[Effective Date])=Selected_Year) * (MONTH(Tracking[Effective Date])=cc_month_no))</f>
        <v>370</v>
      </c>
      <c r="K63" s="107" cm="1">
        <f t="array" aca="1" ref="K63" ca="1" xml:space="preserve"> INDEX(Budget_Planning!$E:$DY,expenses_total_row, MATCH(DATE(Selected_Year,cc_month_no,1), Budget_Planning!$E$9:$DY$9, 0))</f>
        <v>3050</v>
      </c>
      <c r="L63" s="107">
        <f ca="1">cc_budget-cc_tracked</f>
        <v>4280</v>
      </c>
      <c r="M63" s="139">
        <f ca="1">cc_in_focus*cc_show_type*MIN(cc_tracked,cc_budget)</f>
        <v>370</v>
      </c>
      <c r="N63" s="139">
        <f ca="1">cc_in_focus*cc_show_type*cc_show_remaining_budget*IF(cc_delta&gt;0,cc_delta,0)</f>
        <v>4280</v>
      </c>
      <c r="O63" s="139">
        <f ca="1">cc_in_focus*cc_show_type*IF(cc_delta&lt;0,ABS(cc_delta),0)</f>
        <v>0</v>
      </c>
      <c r="P63" s="139">
        <f ca="1">NOT(cc_in_focus)*cc_show_type*MIN(cc_tracked,cc_budget)</f>
        <v>0</v>
      </c>
      <c r="Q63" s="139">
        <f ca="1">NOT(cc_in_focus)*cc_show_type*cc_show_remaining_budget*IF(cc_delta&gt;0,cc_delta,0)</f>
        <v>0</v>
      </c>
      <c r="R63" s="139">
        <f ca="1">NOT(cc_in_focus)*cc_show_type*IF(cc_delta&lt;0,ABS(cc_delta),0)</f>
        <v>0</v>
      </c>
    </row>
    <row r="64" spans="4:18" x14ac:dyDescent="0.3">
      <c r="D64" s="181"/>
      <c r="E64" s="74" t="s">
        <v>16</v>
      </c>
      <c r="F64" s="74">
        <f t="shared" ref="F64" si="13">MONTH(D62)</f>
        <v>3</v>
      </c>
      <c r="G64" s="74">
        <f>IF(Selected_period="Total Year",1,IF(Selected_period=cc_month_no,1,0))</f>
        <v>1</v>
      </c>
      <c r="H64" s="74">
        <f t="shared" ref="H64" si="14">1*$E$49</f>
        <v>1</v>
      </c>
      <c r="I64" s="74">
        <f t="shared" si="3"/>
        <v>1</v>
      </c>
      <c r="J64" s="107" cm="1">
        <f t="array" ref="J64">SUM(Tracking[Amount]*(Tracking[Type]=cc_type)*(YEAR(Tracking[Effective Date])=Selected_Year) * (MONTH(Tracking[Effective Date])=cc_month_no))</f>
        <v>500</v>
      </c>
      <c r="K64" s="107" cm="1">
        <f t="array" aca="1" ref="K64" ca="1" xml:space="preserve"> INDEX(Budget_Planning!$E:$DY,savings_total_row, MATCH(DATE(Selected_Year,cc_month_no,1), Budget_Planning!$E$9:$DY$9, 0))</f>
        <v>1550</v>
      </c>
      <c r="L64" s="107">
        <f ca="1">cc_budget-cc_tracked</f>
        <v>4150</v>
      </c>
      <c r="M64" s="139">
        <f ca="1">cc_in_focus*cc_show_type*MIN(cc_tracked,cc_budget)</f>
        <v>500</v>
      </c>
      <c r="N64" s="139">
        <f ca="1">cc_in_focus*cc_show_type*cc_show_remaining_budget*IF(cc_delta&gt;0,cc_delta,0)</f>
        <v>4150</v>
      </c>
      <c r="O64" s="139">
        <f ca="1">cc_in_focus*cc_show_type*IF(cc_delta&lt;0,ABS(cc_delta),0)</f>
        <v>0</v>
      </c>
      <c r="P64" s="139">
        <f ca="1">NOT(cc_in_focus)*cc_show_type*MIN(cc_tracked,cc_budget)</f>
        <v>0</v>
      </c>
      <c r="Q64" s="139">
        <f ca="1">NOT(cc_in_focus)*cc_show_type*cc_show_remaining_budget*IF(cc_delta&gt;0,cc_delta,0)</f>
        <v>0</v>
      </c>
      <c r="R64" s="139">
        <f ca="1">NOT(cc_in_focus)*cc_show_type*IF(cc_delta&lt;0,ABS(cc_delta),0)</f>
        <v>0</v>
      </c>
    </row>
    <row r="65" spans="4:18" x14ac:dyDescent="0.3">
      <c r="D65" s="182"/>
      <c r="E65" s="138"/>
      <c r="F65" s="138"/>
      <c r="G65" s="138"/>
      <c r="H65" s="138"/>
      <c r="I65" s="138"/>
      <c r="J65" s="140"/>
      <c r="K65" s="140"/>
      <c r="L65" s="140"/>
      <c r="M65" s="138"/>
      <c r="N65" s="138"/>
      <c r="O65" s="138"/>
      <c r="P65" s="138"/>
      <c r="Q65" s="138"/>
      <c r="R65" s="138"/>
    </row>
    <row r="66" spans="4:18" x14ac:dyDescent="0.3">
      <c r="D66" s="183">
        <f>DATE(Selected_Year,4,1)</f>
        <v>44652</v>
      </c>
      <c r="E66" s="137" t="s">
        <v>6</v>
      </c>
      <c r="F66" s="74">
        <f t="shared" ref="F66" si="15">MONTH(D66)</f>
        <v>4</v>
      </c>
      <c r="G66" s="137">
        <f>IF(Selected_period="Total Year",1,IF(Selected_period=cc_month_no,1,0))</f>
        <v>1</v>
      </c>
      <c r="H66" s="74">
        <f t="shared" ref="H66" si="16">1*$E$47</f>
        <v>1</v>
      </c>
      <c r="I66" s="74">
        <f t="shared" ref="I66" si="17">1*$E$50</f>
        <v>1</v>
      </c>
      <c r="J66" s="107" cm="1">
        <f t="array" ref="J66">SUM(Tracking[Amount]*(Tracking[Type]=cc_type)*(YEAR(Tracking[Effective Date])=Selected_Year) * (MONTH(Tracking[Effective Date])=cc_month_no))</f>
        <v>0</v>
      </c>
      <c r="K66" s="107" cm="1">
        <f t="array" aca="1" ref="K66" ca="1" xml:space="preserve"> INDEX(Budget_Planning!$E:$DY,income_total_row, MATCH(DATE(Selected_Year,cc_month_no,1), Budget_Planning!$E$9:$DY$9, 0))</f>
        <v>5650</v>
      </c>
      <c r="L66" s="107">
        <f ca="1">cc_budget-cc_tracked</f>
        <v>4650</v>
      </c>
      <c r="M66" s="139">
        <f ca="1">cc_in_focus*cc_show_type*MIN(cc_tracked,cc_budget)</f>
        <v>0</v>
      </c>
      <c r="N66" s="139">
        <f ca="1">cc_in_focus*cc_show_type*cc_show_remaining_budget*IF(cc_delta&gt;0,cc_delta,0)</f>
        <v>4650</v>
      </c>
      <c r="O66" s="139">
        <f ca="1">cc_in_focus*cc_show_type*IF(cc_delta&lt;0,ABS(cc_delta),0)</f>
        <v>0</v>
      </c>
      <c r="P66" s="139">
        <f ca="1">NOT(cc_in_focus)*cc_show_type*MIN(cc_tracked,cc_budget)</f>
        <v>0</v>
      </c>
      <c r="Q66" s="139">
        <f ca="1">NOT(cc_in_focus)*cc_show_type*cc_show_remaining_budget*IF(cc_delta&gt;0,cc_delta,0)</f>
        <v>0</v>
      </c>
      <c r="R66" s="139">
        <f ca="1">NOT(cc_in_focus)*cc_show_type*IF(cc_delta&lt;0,ABS(cc_delta),0)</f>
        <v>0</v>
      </c>
    </row>
    <row r="67" spans="4:18" x14ac:dyDescent="0.3">
      <c r="D67" s="181"/>
      <c r="E67" s="74" t="s">
        <v>12</v>
      </c>
      <c r="F67" s="74">
        <f t="shared" ref="F67" si="18">MONTH(D66)</f>
        <v>4</v>
      </c>
      <c r="G67" s="74">
        <f>IF(Selected_period="Total Year",1,IF(Selected_period=cc_month_no,1,0))</f>
        <v>1</v>
      </c>
      <c r="H67" s="74">
        <f t="shared" ref="H67" si="19">1*$E$48</f>
        <v>1</v>
      </c>
      <c r="I67" s="74">
        <f t="shared" si="3"/>
        <v>1</v>
      </c>
      <c r="J67" s="107" cm="1">
        <f t="array" ref="J67">SUM(Tracking[Amount]*(Tracking[Type]=cc_type)*(YEAR(Tracking[Effective Date])=Selected_Year) * (MONTH(Tracking[Effective Date])=cc_month_no))</f>
        <v>0</v>
      </c>
      <c r="K67" s="107" cm="1">
        <f t="array" aca="1" ref="K67" ca="1" xml:space="preserve"> INDEX(Budget_Planning!$E:$DY,expenses_total_row, MATCH(DATE(Selected_Year,cc_month_no,1), Budget_Planning!$E$9:$DY$9, 0))</f>
        <v>3800</v>
      </c>
      <c r="L67" s="107">
        <f ca="1">cc_budget-cc_tracked</f>
        <v>4650</v>
      </c>
      <c r="M67" s="139">
        <f ca="1">cc_in_focus*cc_show_type*MIN(cc_tracked,cc_budget)</f>
        <v>0</v>
      </c>
      <c r="N67" s="139">
        <f ca="1">cc_in_focus*cc_show_type*cc_show_remaining_budget*IF(cc_delta&gt;0,cc_delta,0)</f>
        <v>4650</v>
      </c>
      <c r="O67" s="139">
        <f ca="1">cc_in_focus*cc_show_type*IF(cc_delta&lt;0,ABS(cc_delta),0)</f>
        <v>0</v>
      </c>
      <c r="P67" s="139">
        <f ca="1">NOT(cc_in_focus)*cc_show_type*MIN(cc_tracked,cc_budget)</f>
        <v>0</v>
      </c>
      <c r="Q67" s="139">
        <f ca="1">NOT(cc_in_focus)*cc_show_type*cc_show_remaining_budget*IF(cc_delta&gt;0,cc_delta,0)</f>
        <v>0</v>
      </c>
      <c r="R67" s="139">
        <f ca="1">NOT(cc_in_focus)*cc_show_type*IF(cc_delta&lt;0,ABS(cc_delta),0)</f>
        <v>0</v>
      </c>
    </row>
    <row r="68" spans="4:18" x14ac:dyDescent="0.3">
      <c r="D68" s="181"/>
      <c r="E68" s="74" t="s">
        <v>16</v>
      </c>
      <c r="F68" s="74">
        <f t="shared" ref="F68" si="20">MONTH(D66)</f>
        <v>4</v>
      </c>
      <c r="G68" s="74">
        <f>IF(Selected_period="Total Year",1,IF(Selected_period=cc_month_no,1,0))</f>
        <v>1</v>
      </c>
      <c r="H68" s="74">
        <f t="shared" ref="H68" si="21">1*$E$49</f>
        <v>1</v>
      </c>
      <c r="I68" s="74">
        <f t="shared" si="3"/>
        <v>1</v>
      </c>
      <c r="J68" s="107" cm="1">
        <f t="array" ref="J68">SUM(Tracking[Amount]*(Tracking[Type]=cc_type)*(YEAR(Tracking[Effective Date])=Selected_Year) * (MONTH(Tracking[Effective Date])=cc_month_no))</f>
        <v>0</v>
      </c>
      <c r="K68" s="107" cm="1">
        <f t="array" aca="1" ref="K68" ca="1" xml:space="preserve"> INDEX(Budget_Planning!$E:$DY,savings_total_row, MATCH(DATE(Selected_Year,cc_month_no,1), Budget_Planning!$E$9:$DY$9, 0))</f>
        <v>1850</v>
      </c>
      <c r="L68" s="107">
        <f ca="1">cc_budget-cc_tracked</f>
        <v>4650</v>
      </c>
      <c r="M68" s="139">
        <f ca="1">cc_in_focus*cc_show_type*MIN(cc_tracked,cc_budget)</f>
        <v>0</v>
      </c>
      <c r="N68" s="139">
        <f ca="1">cc_in_focus*cc_show_type*cc_show_remaining_budget*IF(cc_delta&gt;0,cc_delta,0)</f>
        <v>4650</v>
      </c>
      <c r="O68" s="139">
        <f ca="1">cc_in_focus*cc_show_type*IF(cc_delta&lt;0,ABS(cc_delta),0)</f>
        <v>0</v>
      </c>
      <c r="P68" s="139">
        <f ca="1">NOT(cc_in_focus)*cc_show_type*MIN(cc_tracked,cc_budget)</f>
        <v>0</v>
      </c>
      <c r="Q68" s="139">
        <f ca="1">NOT(cc_in_focus)*cc_show_type*cc_show_remaining_budget*IF(cc_delta&gt;0,cc_delta,0)</f>
        <v>0</v>
      </c>
      <c r="R68" s="139">
        <f ca="1">NOT(cc_in_focus)*cc_show_type*IF(cc_delta&lt;0,ABS(cc_delta),0)</f>
        <v>0</v>
      </c>
    </row>
    <row r="69" spans="4:18" x14ac:dyDescent="0.3">
      <c r="D69" s="182"/>
      <c r="E69" s="138"/>
      <c r="F69" s="138"/>
      <c r="G69" s="138"/>
      <c r="H69" s="138"/>
      <c r="I69" s="138"/>
      <c r="J69" s="140"/>
      <c r="K69" s="140"/>
      <c r="L69" s="140"/>
      <c r="M69" s="138"/>
      <c r="N69" s="138"/>
      <c r="O69" s="138"/>
      <c r="P69" s="138"/>
      <c r="Q69" s="138"/>
      <c r="R69" s="138"/>
    </row>
    <row r="70" spans="4:18" x14ac:dyDescent="0.3">
      <c r="D70" s="183">
        <f>DATE(Selected_Year,5,1)</f>
        <v>44682</v>
      </c>
      <c r="E70" s="137" t="s">
        <v>6</v>
      </c>
      <c r="F70" s="74">
        <f t="shared" ref="F70" si="22">MONTH(D70)</f>
        <v>5</v>
      </c>
      <c r="G70" s="137">
        <f>IF(Selected_period="Total Year",1,IF(Selected_period=cc_month_no,1,0))</f>
        <v>1</v>
      </c>
      <c r="H70" s="74">
        <f t="shared" ref="H70" si="23">1*$E$47</f>
        <v>1</v>
      </c>
      <c r="I70" s="74">
        <f t="shared" ref="I70" si="24">1*$E$50</f>
        <v>1</v>
      </c>
      <c r="J70" s="107" cm="1">
        <f t="array" ref="J70">SUM(Tracking[Amount]*(Tracking[Type]=cc_type)*(YEAR(Tracking[Effective Date])=Selected_Year) * (MONTH(Tracking[Effective Date])=cc_month_no))</f>
        <v>0</v>
      </c>
      <c r="K70" s="107" cm="1">
        <f t="array" aca="1" ref="K70" ca="1" xml:space="preserve"> INDEX(Budget_Planning!$E:$DY,income_total_row, MATCH(DATE(Selected_Year,cc_month_no,1), Budget_Planning!$E$9:$DY$9, 0))</f>
        <v>5550</v>
      </c>
      <c r="L70" s="107">
        <f ca="1">cc_budget-cc_tracked</f>
        <v>4650</v>
      </c>
      <c r="M70" s="139">
        <f ca="1">cc_in_focus*cc_show_type*MIN(cc_tracked,cc_budget)</f>
        <v>0</v>
      </c>
      <c r="N70" s="139">
        <f ca="1">cc_in_focus*cc_show_type*cc_show_remaining_budget*IF(cc_delta&gt;0,cc_delta,0)</f>
        <v>4650</v>
      </c>
      <c r="O70" s="139">
        <f ca="1">cc_in_focus*cc_show_type*IF(cc_delta&lt;0,ABS(cc_delta),0)</f>
        <v>0</v>
      </c>
      <c r="P70" s="139">
        <f ca="1">NOT(cc_in_focus)*cc_show_type*MIN(cc_tracked,cc_budget)</f>
        <v>0</v>
      </c>
      <c r="Q70" s="139">
        <f ca="1">NOT(cc_in_focus)*cc_show_type*cc_show_remaining_budget*IF(cc_delta&gt;0,cc_delta,0)</f>
        <v>0</v>
      </c>
      <c r="R70" s="139">
        <f ca="1">NOT(cc_in_focus)*cc_show_type*IF(cc_delta&lt;0,ABS(cc_delta),0)</f>
        <v>0</v>
      </c>
    </row>
    <row r="71" spans="4:18" x14ac:dyDescent="0.3">
      <c r="D71" s="181"/>
      <c r="E71" s="74" t="s">
        <v>12</v>
      </c>
      <c r="F71" s="74">
        <f t="shared" ref="F71" si="25">MONTH(D70)</f>
        <v>5</v>
      </c>
      <c r="G71" s="74">
        <f>IF(Selected_period="Total Year",1,IF(Selected_period=cc_month_no,1,0))</f>
        <v>1</v>
      </c>
      <c r="H71" s="74">
        <f t="shared" ref="H71" si="26">1*$E$48</f>
        <v>1</v>
      </c>
      <c r="I71" s="74">
        <f t="shared" si="3"/>
        <v>1</v>
      </c>
      <c r="J71" s="107" cm="1">
        <f t="array" ref="J71">SUM(Tracking[Amount]*(Tracking[Type]=cc_type)*(YEAR(Tracking[Effective Date])=Selected_Year) * (MONTH(Tracking[Effective Date])=cc_month_no))</f>
        <v>0</v>
      </c>
      <c r="K71" s="107" cm="1">
        <f t="array" aca="1" ref="K71" ca="1" xml:space="preserve"> INDEX(Budget_Planning!$E:$DY,expenses_total_row, MATCH(DATE(Selected_Year,cc_month_no,1), Budget_Planning!$E$9:$DY$9, 0))</f>
        <v>2900</v>
      </c>
      <c r="L71" s="107">
        <f ca="1">cc_budget-cc_tracked</f>
        <v>4650</v>
      </c>
      <c r="M71" s="139">
        <f ca="1">cc_in_focus*cc_show_type*MIN(cc_tracked,cc_budget)</f>
        <v>0</v>
      </c>
      <c r="N71" s="139">
        <f ca="1">cc_in_focus*cc_show_type*cc_show_remaining_budget*IF(cc_delta&gt;0,cc_delta,0)</f>
        <v>4650</v>
      </c>
      <c r="O71" s="139">
        <f ca="1">cc_in_focus*cc_show_type*IF(cc_delta&lt;0,ABS(cc_delta),0)</f>
        <v>0</v>
      </c>
      <c r="P71" s="139">
        <f ca="1">NOT(cc_in_focus)*cc_show_type*MIN(cc_tracked,cc_budget)</f>
        <v>0</v>
      </c>
      <c r="Q71" s="139">
        <f ca="1">NOT(cc_in_focus)*cc_show_type*cc_show_remaining_budget*IF(cc_delta&gt;0,cc_delta,0)</f>
        <v>0</v>
      </c>
      <c r="R71" s="139">
        <f ca="1">NOT(cc_in_focus)*cc_show_type*IF(cc_delta&lt;0,ABS(cc_delta),0)</f>
        <v>0</v>
      </c>
    </row>
    <row r="72" spans="4:18" x14ac:dyDescent="0.3">
      <c r="D72" s="181"/>
      <c r="E72" s="74" t="s">
        <v>16</v>
      </c>
      <c r="F72" s="74">
        <f t="shared" ref="F72" si="27">MONTH(D70)</f>
        <v>5</v>
      </c>
      <c r="G72" s="74">
        <f>IF(Selected_period="Total Year",1,IF(Selected_period=cc_month_no,1,0))</f>
        <v>1</v>
      </c>
      <c r="H72" s="74">
        <f t="shared" ref="H72" si="28">1*$E$49</f>
        <v>1</v>
      </c>
      <c r="I72" s="74">
        <f t="shared" si="3"/>
        <v>1</v>
      </c>
      <c r="J72" s="107" cm="1">
        <f t="array" ref="J72">SUM(Tracking[Amount]*(Tracking[Type]=cc_type)*(YEAR(Tracking[Effective Date])=Selected_Year) * (MONTH(Tracking[Effective Date])=cc_month_no))</f>
        <v>0</v>
      </c>
      <c r="K72" s="107" cm="1">
        <f t="array" aca="1" ref="K72" ca="1" xml:space="preserve"> INDEX(Budget_Planning!$E:$DY,savings_total_row, MATCH(DATE(Selected_Year,cc_month_no,1), Budget_Planning!$E$9:$DY$9, 0))</f>
        <v>2650</v>
      </c>
      <c r="L72" s="107">
        <f ca="1">cc_budget-cc_tracked</f>
        <v>4650</v>
      </c>
      <c r="M72" s="139">
        <f ca="1">cc_in_focus*cc_show_type*MIN(cc_tracked,cc_budget)</f>
        <v>0</v>
      </c>
      <c r="N72" s="139">
        <f ca="1">cc_in_focus*cc_show_type*cc_show_remaining_budget*IF(cc_delta&gt;0,cc_delta,0)</f>
        <v>4650</v>
      </c>
      <c r="O72" s="139">
        <f ca="1">cc_in_focus*cc_show_type*IF(cc_delta&lt;0,ABS(cc_delta),0)</f>
        <v>0</v>
      </c>
      <c r="P72" s="139">
        <f ca="1">NOT(cc_in_focus)*cc_show_type*MIN(cc_tracked,cc_budget)</f>
        <v>0</v>
      </c>
      <c r="Q72" s="139">
        <f ca="1">NOT(cc_in_focus)*cc_show_type*cc_show_remaining_budget*IF(cc_delta&gt;0,cc_delta,0)</f>
        <v>0</v>
      </c>
      <c r="R72" s="139">
        <f ca="1">NOT(cc_in_focus)*cc_show_type*IF(cc_delta&lt;0,ABS(cc_delta),0)</f>
        <v>0</v>
      </c>
    </row>
    <row r="73" spans="4:18" x14ac:dyDescent="0.3">
      <c r="D73" s="182"/>
      <c r="E73" s="138"/>
      <c r="F73" s="138"/>
      <c r="G73" s="138"/>
      <c r="H73" s="138"/>
      <c r="I73" s="138"/>
      <c r="J73" s="140"/>
      <c r="K73" s="140"/>
      <c r="L73" s="140"/>
      <c r="M73" s="138"/>
      <c r="N73" s="138"/>
      <c r="O73" s="138"/>
      <c r="P73" s="138"/>
      <c r="Q73" s="138"/>
      <c r="R73" s="138"/>
    </row>
    <row r="74" spans="4:18" x14ac:dyDescent="0.3">
      <c r="D74" s="183">
        <f>DATE(Selected_Year,6,1)</f>
        <v>44713</v>
      </c>
      <c r="E74" s="137" t="s">
        <v>6</v>
      </c>
      <c r="F74" s="74">
        <f t="shared" ref="F74" si="29">MONTH(D74)</f>
        <v>6</v>
      </c>
      <c r="G74" s="137">
        <f>IF(Selected_period="Total Year",1,IF(Selected_period=cc_month_no,1,0))</f>
        <v>1</v>
      </c>
      <c r="H74" s="74">
        <f t="shared" ref="H74" si="30">1*$E$47</f>
        <v>1</v>
      </c>
      <c r="I74" s="74">
        <f t="shared" ref="I74" si="31">1*$E$50</f>
        <v>1</v>
      </c>
      <c r="J74" s="107" cm="1">
        <f t="array" ref="J74">SUM(Tracking[Amount]*(Tracking[Type]=cc_type)*(YEAR(Tracking[Effective Date])=Selected_Year) * (MONTH(Tracking[Effective Date])=cc_month_no))</f>
        <v>0</v>
      </c>
      <c r="K74" s="107" cm="1">
        <f t="array" aca="1" ref="K74" ca="1" xml:space="preserve"> INDEX(Budget_Planning!$E:$DY,income_total_row, MATCH(DATE(Selected_Year,cc_month_no,1), Budget_Planning!$E$9:$DY$9, 0))</f>
        <v>5600</v>
      </c>
      <c r="L74" s="107">
        <f ca="1">cc_budget-cc_tracked</f>
        <v>4650</v>
      </c>
      <c r="M74" s="139">
        <f ca="1">cc_in_focus*cc_show_type*MIN(cc_tracked,cc_budget)</f>
        <v>0</v>
      </c>
      <c r="N74" s="139">
        <f ca="1">cc_in_focus*cc_show_type*cc_show_remaining_budget*IF(cc_delta&gt;0,cc_delta,0)</f>
        <v>4650</v>
      </c>
      <c r="O74" s="139">
        <f ca="1">cc_in_focus*cc_show_type*IF(cc_delta&lt;0,ABS(cc_delta),0)</f>
        <v>0</v>
      </c>
      <c r="P74" s="139">
        <f ca="1">NOT(cc_in_focus)*cc_show_type*MIN(cc_tracked,cc_budget)</f>
        <v>0</v>
      </c>
      <c r="Q74" s="139">
        <f ca="1">NOT(cc_in_focus)*cc_show_type*cc_show_remaining_budget*IF(cc_delta&gt;0,cc_delta,0)</f>
        <v>0</v>
      </c>
      <c r="R74" s="139">
        <f ca="1">NOT(cc_in_focus)*cc_show_type*IF(cc_delta&lt;0,ABS(cc_delta),0)</f>
        <v>0</v>
      </c>
    </row>
    <row r="75" spans="4:18" x14ac:dyDescent="0.3">
      <c r="D75" s="181"/>
      <c r="E75" s="74" t="s">
        <v>12</v>
      </c>
      <c r="F75" s="74">
        <f t="shared" ref="F75" si="32">MONTH(D74)</f>
        <v>6</v>
      </c>
      <c r="G75" s="74">
        <f>IF(Selected_period="Total Year",1,IF(Selected_period=cc_month_no,1,0))</f>
        <v>1</v>
      </c>
      <c r="H75" s="74">
        <f t="shared" ref="H75" si="33">1*$E$48</f>
        <v>1</v>
      </c>
      <c r="I75" s="74">
        <f t="shared" si="3"/>
        <v>1</v>
      </c>
      <c r="J75" s="107" cm="1">
        <f t="array" ref="J75">SUM(Tracking[Amount]*(Tracking[Type]=cc_type)*(YEAR(Tracking[Effective Date])=Selected_Year) * (MONTH(Tracking[Effective Date])=cc_month_no))</f>
        <v>0</v>
      </c>
      <c r="K75" s="107" cm="1">
        <f t="array" aca="1" ref="K75" ca="1" xml:space="preserve"> INDEX(Budget_Planning!$E:$DY,expenses_total_row, MATCH(DATE(Selected_Year,cc_month_no,1), Budget_Planning!$E$9:$DY$9, 0))</f>
        <v>3050</v>
      </c>
      <c r="L75" s="107">
        <f ca="1">cc_budget-cc_tracked</f>
        <v>4650</v>
      </c>
      <c r="M75" s="139">
        <f ca="1">cc_in_focus*cc_show_type*MIN(cc_tracked,cc_budget)</f>
        <v>0</v>
      </c>
      <c r="N75" s="139">
        <f ca="1">cc_in_focus*cc_show_type*cc_show_remaining_budget*IF(cc_delta&gt;0,cc_delta,0)</f>
        <v>4650</v>
      </c>
      <c r="O75" s="139">
        <f ca="1">cc_in_focus*cc_show_type*IF(cc_delta&lt;0,ABS(cc_delta),0)</f>
        <v>0</v>
      </c>
      <c r="P75" s="139">
        <f ca="1">NOT(cc_in_focus)*cc_show_type*MIN(cc_tracked,cc_budget)</f>
        <v>0</v>
      </c>
      <c r="Q75" s="139">
        <f ca="1">NOT(cc_in_focus)*cc_show_type*cc_show_remaining_budget*IF(cc_delta&gt;0,cc_delta,0)</f>
        <v>0</v>
      </c>
      <c r="R75" s="139">
        <f ca="1">NOT(cc_in_focus)*cc_show_type*IF(cc_delta&lt;0,ABS(cc_delta),0)</f>
        <v>0</v>
      </c>
    </row>
    <row r="76" spans="4:18" x14ac:dyDescent="0.3">
      <c r="D76" s="181"/>
      <c r="E76" s="74" t="s">
        <v>16</v>
      </c>
      <c r="F76" s="74">
        <f t="shared" ref="F76" si="34">MONTH(D74)</f>
        <v>6</v>
      </c>
      <c r="G76" s="74">
        <f>IF(Selected_period="Total Year",1,IF(Selected_period=cc_month_no,1,0))</f>
        <v>1</v>
      </c>
      <c r="H76" s="74">
        <f t="shared" ref="H76" si="35">1*$E$49</f>
        <v>1</v>
      </c>
      <c r="I76" s="74">
        <f t="shared" si="3"/>
        <v>1</v>
      </c>
      <c r="J76" s="107" cm="1">
        <f t="array" ref="J76">SUM(Tracking[Amount]*(Tracking[Type]=cc_type)*(YEAR(Tracking[Effective Date])=Selected_Year) * (MONTH(Tracking[Effective Date])=cc_month_no))</f>
        <v>0</v>
      </c>
      <c r="K76" s="107" cm="1">
        <f t="array" aca="1" ref="K76" ca="1" xml:space="preserve"> INDEX(Budget_Planning!$E:$DY,savings_total_row, MATCH(DATE(Selected_Year,cc_month_no,1), Budget_Planning!$E$9:$DY$9, 0))</f>
        <v>2550</v>
      </c>
      <c r="L76" s="107">
        <f ca="1">cc_budget-cc_tracked</f>
        <v>4650</v>
      </c>
      <c r="M76" s="139">
        <f ca="1">cc_in_focus*cc_show_type*MIN(cc_tracked,cc_budget)</f>
        <v>0</v>
      </c>
      <c r="N76" s="139">
        <f ca="1">cc_in_focus*cc_show_type*cc_show_remaining_budget*IF(cc_delta&gt;0,cc_delta,0)</f>
        <v>4650</v>
      </c>
      <c r="O76" s="139">
        <f ca="1">cc_in_focus*cc_show_type*IF(cc_delta&lt;0,ABS(cc_delta),0)</f>
        <v>0</v>
      </c>
      <c r="P76" s="139">
        <f ca="1">NOT(cc_in_focus)*cc_show_type*MIN(cc_tracked,cc_budget)</f>
        <v>0</v>
      </c>
      <c r="Q76" s="139">
        <f ca="1">NOT(cc_in_focus)*cc_show_type*cc_show_remaining_budget*IF(cc_delta&gt;0,cc_delta,0)</f>
        <v>0</v>
      </c>
      <c r="R76" s="139">
        <f ca="1">NOT(cc_in_focus)*cc_show_type*IF(cc_delta&lt;0,ABS(cc_delta),0)</f>
        <v>0</v>
      </c>
    </row>
    <row r="77" spans="4:18" x14ac:dyDescent="0.3">
      <c r="D77" s="182"/>
      <c r="E77" s="138"/>
      <c r="F77" s="138"/>
      <c r="G77" s="138"/>
      <c r="H77" s="138"/>
      <c r="I77" s="138"/>
      <c r="J77" s="140"/>
      <c r="K77" s="140"/>
      <c r="L77" s="140"/>
      <c r="M77" s="138"/>
      <c r="N77" s="138"/>
      <c r="O77" s="138"/>
      <c r="P77" s="138"/>
      <c r="Q77" s="138"/>
      <c r="R77" s="138"/>
    </row>
    <row r="78" spans="4:18" x14ac:dyDescent="0.3">
      <c r="D78" s="183">
        <f>DATE(Selected_Year,7,1)</f>
        <v>44743</v>
      </c>
      <c r="E78" s="137" t="s">
        <v>6</v>
      </c>
      <c r="F78" s="74">
        <f t="shared" ref="F78" si="36">MONTH(D78)</f>
        <v>7</v>
      </c>
      <c r="G78" s="137">
        <f>IF(Selected_period="Total Year",1,IF(Selected_period=cc_month_no,1,0))</f>
        <v>1</v>
      </c>
      <c r="H78" s="74">
        <f t="shared" ref="H78" si="37">1*$E$47</f>
        <v>1</v>
      </c>
      <c r="I78" s="74">
        <f t="shared" ref="I78" si="38">1*$E$50</f>
        <v>1</v>
      </c>
      <c r="J78" s="107" cm="1">
        <f t="array" ref="J78">SUM(Tracking[Amount]*(Tracking[Type]=cc_type)*(YEAR(Tracking[Effective Date])=Selected_Year) * (MONTH(Tracking[Effective Date])=cc_month_no))</f>
        <v>0</v>
      </c>
      <c r="K78" s="107" cm="1">
        <f t="array" aca="1" ref="K78" ca="1" xml:space="preserve"> INDEX(Budget_Planning!$E:$DY,income_total_row, MATCH(DATE(Selected_Year,cc_month_no,1), Budget_Planning!$E$9:$DY$9, 0))</f>
        <v>5650</v>
      </c>
      <c r="L78" s="107">
        <f ca="1">cc_budget-cc_tracked</f>
        <v>4650</v>
      </c>
      <c r="M78" s="139">
        <f ca="1">cc_in_focus*cc_show_type*MIN(cc_tracked,cc_budget)</f>
        <v>0</v>
      </c>
      <c r="N78" s="139">
        <f ca="1">cc_in_focus*cc_show_type*cc_show_remaining_budget*IF(cc_delta&gt;0,cc_delta,0)</f>
        <v>4650</v>
      </c>
      <c r="O78" s="139">
        <f ca="1">cc_in_focus*cc_show_type*IF(cc_delta&lt;0,ABS(cc_delta),0)</f>
        <v>0</v>
      </c>
      <c r="P78" s="139">
        <f ca="1">NOT(cc_in_focus)*cc_show_type*MIN(cc_tracked,cc_budget)</f>
        <v>0</v>
      </c>
      <c r="Q78" s="139">
        <f ca="1">NOT(cc_in_focus)*cc_show_type*cc_show_remaining_budget*IF(cc_delta&gt;0,cc_delta,0)</f>
        <v>0</v>
      </c>
      <c r="R78" s="139">
        <f ca="1">NOT(cc_in_focus)*cc_show_type*IF(cc_delta&lt;0,ABS(cc_delta),0)</f>
        <v>0</v>
      </c>
    </row>
    <row r="79" spans="4:18" x14ac:dyDescent="0.3">
      <c r="D79" s="181"/>
      <c r="E79" s="74" t="s">
        <v>12</v>
      </c>
      <c r="F79" s="74">
        <f t="shared" ref="F79" si="39">MONTH(D78)</f>
        <v>7</v>
      </c>
      <c r="G79" s="74">
        <f>IF(Selected_period="Total Year",1,IF(Selected_period=cc_month_no,1,0))</f>
        <v>1</v>
      </c>
      <c r="H79" s="74">
        <f t="shared" ref="H79" si="40">1*$E$48</f>
        <v>1</v>
      </c>
      <c r="I79" s="74">
        <f t="shared" si="3"/>
        <v>1</v>
      </c>
      <c r="J79" s="107" cm="1">
        <f t="array" ref="J79">SUM(Tracking[Amount]*(Tracking[Type]=cc_type)*(YEAR(Tracking[Effective Date])=Selected_Year) * (MONTH(Tracking[Effective Date])=cc_month_no))</f>
        <v>0</v>
      </c>
      <c r="K79" s="107" cm="1">
        <f t="array" aca="1" ref="K79" ca="1" xml:space="preserve"> INDEX(Budget_Planning!$E:$DY,expenses_total_row, MATCH(DATE(Selected_Year,cc_month_no,1), Budget_Planning!$E$9:$DY$9, 0))</f>
        <v>2900</v>
      </c>
      <c r="L79" s="107">
        <f ca="1">cc_budget-cc_tracked</f>
        <v>4650</v>
      </c>
      <c r="M79" s="139">
        <f ca="1">cc_in_focus*cc_show_type*MIN(cc_tracked,cc_budget)</f>
        <v>0</v>
      </c>
      <c r="N79" s="139">
        <f ca="1">cc_in_focus*cc_show_type*cc_show_remaining_budget*IF(cc_delta&gt;0,cc_delta,0)</f>
        <v>4650</v>
      </c>
      <c r="O79" s="139">
        <f ca="1">cc_in_focus*cc_show_type*IF(cc_delta&lt;0,ABS(cc_delta),0)</f>
        <v>0</v>
      </c>
      <c r="P79" s="139">
        <f ca="1">NOT(cc_in_focus)*cc_show_type*MIN(cc_tracked,cc_budget)</f>
        <v>0</v>
      </c>
      <c r="Q79" s="139">
        <f ca="1">NOT(cc_in_focus)*cc_show_type*cc_show_remaining_budget*IF(cc_delta&gt;0,cc_delta,0)</f>
        <v>0</v>
      </c>
      <c r="R79" s="139">
        <f ca="1">NOT(cc_in_focus)*cc_show_type*IF(cc_delta&lt;0,ABS(cc_delta),0)</f>
        <v>0</v>
      </c>
    </row>
    <row r="80" spans="4:18" x14ac:dyDescent="0.3">
      <c r="D80" s="181"/>
      <c r="E80" s="74" t="s">
        <v>16</v>
      </c>
      <c r="F80" s="74">
        <f t="shared" ref="F80" si="41">MONTH(D78)</f>
        <v>7</v>
      </c>
      <c r="G80" s="74">
        <f>IF(Selected_period="Total Year",1,IF(Selected_period=cc_month_no,1,0))</f>
        <v>1</v>
      </c>
      <c r="H80" s="74">
        <f t="shared" ref="H80" si="42">1*$E$49</f>
        <v>1</v>
      </c>
      <c r="I80" s="74">
        <f t="shared" si="3"/>
        <v>1</v>
      </c>
      <c r="J80" s="107" cm="1">
        <f t="array" ref="J80">SUM(Tracking[Amount]*(Tracking[Type]=cc_type)*(YEAR(Tracking[Effective Date])=Selected_Year) * (MONTH(Tracking[Effective Date])=cc_month_no))</f>
        <v>0</v>
      </c>
      <c r="K80" s="107" cm="1">
        <f t="array" aca="1" ref="K80" ca="1" xml:space="preserve"> INDEX(Budget_Planning!$E:$DY,savings_total_row, MATCH(DATE(Selected_Year,cc_month_no,1), Budget_Planning!$E$9:$DY$9, 0))</f>
        <v>2750</v>
      </c>
      <c r="L80" s="107">
        <f ca="1">cc_budget-cc_tracked</f>
        <v>4650</v>
      </c>
      <c r="M80" s="139">
        <f ca="1">cc_in_focus*cc_show_type*MIN(cc_tracked,cc_budget)</f>
        <v>0</v>
      </c>
      <c r="N80" s="139">
        <f ca="1">cc_in_focus*cc_show_type*cc_show_remaining_budget*IF(cc_delta&gt;0,cc_delta,0)</f>
        <v>4650</v>
      </c>
      <c r="O80" s="139">
        <f ca="1">cc_in_focus*cc_show_type*IF(cc_delta&lt;0,ABS(cc_delta),0)</f>
        <v>0</v>
      </c>
      <c r="P80" s="139">
        <f ca="1">NOT(cc_in_focus)*cc_show_type*MIN(cc_tracked,cc_budget)</f>
        <v>0</v>
      </c>
      <c r="Q80" s="139">
        <f ca="1">NOT(cc_in_focus)*cc_show_type*cc_show_remaining_budget*IF(cc_delta&gt;0,cc_delta,0)</f>
        <v>0</v>
      </c>
      <c r="R80" s="139">
        <f ca="1">NOT(cc_in_focus)*cc_show_type*IF(cc_delta&lt;0,ABS(cc_delta),0)</f>
        <v>0</v>
      </c>
    </row>
    <row r="81" spans="4:18" x14ac:dyDescent="0.3">
      <c r="D81" s="182"/>
      <c r="E81" s="138"/>
      <c r="F81" s="138"/>
      <c r="G81" s="138"/>
      <c r="H81" s="138"/>
      <c r="I81" s="138"/>
      <c r="J81" s="140"/>
      <c r="K81" s="140"/>
      <c r="L81" s="140"/>
      <c r="M81" s="138"/>
      <c r="N81" s="138"/>
      <c r="O81" s="138"/>
      <c r="P81" s="138"/>
      <c r="Q81" s="138"/>
      <c r="R81" s="138"/>
    </row>
    <row r="82" spans="4:18" x14ac:dyDescent="0.3">
      <c r="D82" s="183">
        <f>DATE(Selected_Year,8,1)</f>
        <v>44774</v>
      </c>
      <c r="E82" s="137" t="s">
        <v>6</v>
      </c>
      <c r="F82" s="74">
        <f t="shared" ref="F82" si="43">MONTH(D82)</f>
        <v>8</v>
      </c>
      <c r="G82" s="137">
        <f>IF(Selected_period="Total Year",1,IF(Selected_period=cc_month_no,1,0))</f>
        <v>1</v>
      </c>
      <c r="H82" s="74">
        <f t="shared" ref="H82" si="44">1*$E$47</f>
        <v>1</v>
      </c>
      <c r="I82" s="74">
        <f t="shared" ref="I82" si="45">1*$E$50</f>
        <v>1</v>
      </c>
      <c r="J82" s="107" cm="1">
        <f t="array" ref="J82">SUM(Tracking[Amount]*(Tracking[Type]=cc_type)*(YEAR(Tracking[Effective Date])=Selected_Year) * (MONTH(Tracking[Effective Date])=cc_month_no))</f>
        <v>0</v>
      </c>
      <c r="K82" s="107" cm="1">
        <f t="array" aca="1" ref="K82" ca="1" xml:space="preserve"> INDEX(Budget_Planning!$E:$DY,income_total_row, MATCH(DATE(Selected_Year,cc_month_no,1), Budget_Planning!$E$9:$DY$9, 0))</f>
        <v>5550</v>
      </c>
      <c r="L82" s="107">
        <f ca="1">cc_budget-cc_tracked</f>
        <v>4650</v>
      </c>
      <c r="M82" s="139">
        <f ca="1">cc_in_focus*cc_show_type*MIN(cc_tracked,cc_budget)</f>
        <v>0</v>
      </c>
      <c r="N82" s="139">
        <f ca="1">cc_in_focus*cc_show_type*cc_show_remaining_budget*IF(cc_delta&gt;0,cc_delta,0)</f>
        <v>4650</v>
      </c>
      <c r="O82" s="139">
        <f ca="1">cc_in_focus*cc_show_type*IF(cc_delta&lt;0,ABS(cc_delta),0)</f>
        <v>0</v>
      </c>
      <c r="P82" s="139">
        <f ca="1">NOT(cc_in_focus)*cc_show_type*MIN(cc_tracked,cc_budget)</f>
        <v>0</v>
      </c>
      <c r="Q82" s="139">
        <f ca="1">NOT(cc_in_focus)*cc_show_type*cc_show_remaining_budget*IF(cc_delta&gt;0,cc_delta,0)</f>
        <v>0</v>
      </c>
      <c r="R82" s="139">
        <f ca="1">NOT(cc_in_focus)*cc_show_type*IF(cc_delta&lt;0,ABS(cc_delta),0)</f>
        <v>0</v>
      </c>
    </row>
    <row r="83" spans="4:18" x14ac:dyDescent="0.3">
      <c r="D83" s="181"/>
      <c r="E83" s="74" t="s">
        <v>12</v>
      </c>
      <c r="F83" s="74">
        <f t="shared" ref="F83" si="46">MONTH(D82)</f>
        <v>8</v>
      </c>
      <c r="G83" s="74">
        <f>IF(Selected_period="Total Year",1,IF(Selected_period=cc_month_no,1,0))</f>
        <v>1</v>
      </c>
      <c r="H83" s="74">
        <f t="shared" ref="H83" si="47">1*$E$48</f>
        <v>1</v>
      </c>
      <c r="I83" s="74">
        <f t="shared" si="3"/>
        <v>1</v>
      </c>
      <c r="J83" s="107" cm="1">
        <f t="array" ref="J83">SUM(Tracking[Amount]*(Tracking[Type]=cc_type)*(YEAR(Tracking[Effective Date])=Selected_Year) * (MONTH(Tracking[Effective Date])=cc_month_no))</f>
        <v>0</v>
      </c>
      <c r="K83" s="107" cm="1">
        <f t="array" aca="1" ref="K83" ca="1" xml:space="preserve"> INDEX(Budget_Planning!$E:$DY,expenses_total_row, MATCH(DATE(Selected_Year,cc_month_no,1), Budget_Planning!$E$9:$DY$9, 0))</f>
        <v>4100</v>
      </c>
      <c r="L83" s="107">
        <f ca="1">cc_budget-cc_tracked</f>
        <v>4650</v>
      </c>
      <c r="M83" s="139">
        <f ca="1">cc_in_focus*cc_show_type*MIN(cc_tracked,cc_budget)</f>
        <v>0</v>
      </c>
      <c r="N83" s="139">
        <f ca="1">cc_in_focus*cc_show_type*cc_show_remaining_budget*IF(cc_delta&gt;0,cc_delta,0)</f>
        <v>4650</v>
      </c>
      <c r="O83" s="139">
        <f ca="1">cc_in_focus*cc_show_type*IF(cc_delta&lt;0,ABS(cc_delta),0)</f>
        <v>0</v>
      </c>
      <c r="P83" s="139">
        <f ca="1">NOT(cc_in_focus)*cc_show_type*MIN(cc_tracked,cc_budget)</f>
        <v>0</v>
      </c>
      <c r="Q83" s="139">
        <f ca="1">NOT(cc_in_focus)*cc_show_type*cc_show_remaining_budget*IF(cc_delta&gt;0,cc_delta,0)</f>
        <v>0</v>
      </c>
      <c r="R83" s="139">
        <f ca="1">NOT(cc_in_focus)*cc_show_type*IF(cc_delta&lt;0,ABS(cc_delta),0)</f>
        <v>0</v>
      </c>
    </row>
    <row r="84" spans="4:18" x14ac:dyDescent="0.3">
      <c r="D84" s="181"/>
      <c r="E84" s="74" t="s">
        <v>16</v>
      </c>
      <c r="F84" s="74">
        <f t="shared" ref="F84" si="48">MONTH(D82)</f>
        <v>8</v>
      </c>
      <c r="G84" s="74">
        <f>IF(Selected_period="Total Year",1,IF(Selected_period=cc_month_no,1,0))</f>
        <v>1</v>
      </c>
      <c r="H84" s="74">
        <f t="shared" ref="H84" si="49">1*$E$49</f>
        <v>1</v>
      </c>
      <c r="I84" s="74">
        <f t="shared" si="3"/>
        <v>1</v>
      </c>
      <c r="J84" s="107" cm="1">
        <f t="array" ref="J84">SUM(Tracking[Amount]*(Tracking[Type]=cc_type)*(YEAR(Tracking[Effective Date])=Selected_Year) * (MONTH(Tracking[Effective Date])=cc_month_no))</f>
        <v>0</v>
      </c>
      <c r="K84" s="107" cm="1">
        <f t="array" aca="1" ref="K84" ca="1" xml:space="preserve"> INDEX(Budget_Planning!$E:$DY,savings_total_row, MATCH(DATE(Selected_Year,cc_month_no,1), Budget_Planning!$E$9:$DY$9, 0))</f>
        <v>1450</v>
      </c>
      <c r="L84" s="107">
        <f ca="1">cc_budget-cc_tracked</f>
        <v>4650</v>
      </c>
      <c r="M84" s="139">
        <f ca="1">cc_in_focus*cc_show_type*MIN(cc_tracked,cc_budget)</f>
        <v>0</v>
      </c>
      <c r="N84" s="139">
        <f ca="1">cc_in_focus*cc_show_type*cc_show_remaining_budget*IF(cc_delta&gt;0,cc_delta,0)</f>
        <v>4650</v>
      </c>
      <c r="O84" s="139">
        <f ca="1">cc_in_focus*cc_show_type*IF(cc_delta&lt;0,ABS(cc_delta),0)</f>
        <v>0</v>
      </c>
      <c r="P84" s="139">
        <f ca="1">NOT(cc_in_focus)*cc_show_type*MIN(cc_tracked,cc_budget)</f>
        <v>0</v>
      </c>
      <c r="Q84" s="139">
        <f ca="1">NOT(cc_in_focus)*cc_show_type*cc_show_remaining_budget*IF(cc_delta&gt;0,cc_delta,0)</f>
        <v>0</v>
      </c>
      <c r="R84" s="139">
        <f ca="1">NOT(cc_in_focus)*cc_show_type*IF(cc_delta&lt;0,ABS(cc_delta),0)</f>
        <v>0</v>
      </c>
    </row>
    <row r="85" spans="4:18" x14ac:dyDescent="0.3">
      <c r="D85" s="182"/>
      <c r="E85" s="138"/>
      <c r="F85" s="138"/>
      <c r="G85" s="138"/>
      <c r="H85" s="138"/>
      <c r="I85" s="138"/>
      <c r="J85" s="140"/>
      <c r="K85" s="140"/>
      <c r="L85" s="140"/>
      <c r="M85" s="138"/>
      <c r="N85" s="138"/>
      <c r="O85" s="138"/>
      <c r="P85" s="138"/>
      <c r="Q85" s="138"/>
      <c r="R85" s="138"/>
    </row>
    <row r="86" spans="4:18" x14ac:dyDescent="0.3">
      <c r="D86" s="183">
        <f>DATE(Selected_Year,9,1)</f>
        <v>44805</v>
      </c>
      <c r="E86" s="137" t="s">
        <v>6</v>
      </c>
      <c r="F86" s="74">
        <f t="shared" ref="F86" si="50">MONTH(D86)</f>
        <v>9</v>
      </c>
      <c r="G86" s="137">
        <f>IF(Selected_period="Total Year",1,IF(Selected_period=cc_month_no,1,0))</f>
        <v>1</v>
      </c>
      <c r="H86" s="74">
        <f t="shared" ref="H86" si="51">1*$E$47</f>
        <v>1</v>
      </c>
      <c r="I86" s="74">
        <f t="shared" ref="I86" si="52">1*$E$50</f>
        <v>1</v>
      </c>
      <c r="J86" s="107" cm="1">
        <f t="array" ref="J86">SUM(Tracking[Amount]*(Tracking[Type]=cc_type)*(YEAR(Tracking[Effective Date])=Selected_Year) * (MONTH(Tracking[Effective Date])=cc_month_no))</f>
        <v>0</v>
      </c>
      <c r="K86" s="107" cm="1">
        <f t="array" aca="1" ref="K86" ca="1" xml:space="preserve"> INDEX(Budget_Planning!$E:$DY,income_total_row, MATCH(DATE(Selected_Year,cc_month_no,1), Budget_Planning!$E$9:$DY$9, 0))</f>
        <v>5600</v>
      </c>
      <c r="L86" s="107">
        <f ca="1">cc_budget-cc_tracked</f>
        <v>4650</v>
      </c>
      <c r="M86" s="139">
        <f ca="1">cc_in_focus*cc_show_type*MIN(cc_tracked,cc_budget)</f>
        <v>0</v>
      </c>
      <c r="N86" s="139">
        <f ca="1">cc_in_focus*cc_show_type*cc_show_remaining_budget*IF(cc_delta&gt;0,cc_delta,0)</f>
        <v>4650</v>
      </c>
      <c r="O86" s="139">
        <f ca="1">cc_in_focus*cc_show_type*IF(cc_delta&lt;0,ABS(cc_delta),0)</f>
        <v>0</v>
      </c>
      <c r="P86" s="139">
        <f ca="1">NOT(cc_in_focus)*cc_show_type*MIN(cc_tracked,cc_budget)</f>
        <v>0</v>
      </c>
      <c r="Q86" s="139">
        <f ca="1">NOT(cc_in_focus)*cc_show_type*cc_show_remaining_budget*IF(cc_delta&gt;0,cc_delta,0)</f>
        <v>0</v>
      </c>
      <c r="R86" s="139">
        <f ca="1">NOT(cc_in_focus)*cc_show_type*IF(cc_delta&lt;0,ABS(cc_delta),0)</f>
        <v>0</v>
      </c>
    </row>
    <row r="87" spans="4:18" x14ac:dyDescent="0.3">
      <c r="D87" s="181"/>
      <c r="E87" s="74" t="s">
        <v>12</v>
      </c>
      <c r="F87" s="74">
        <f t="shared" ref="F87" si="53">MONTH(D86)</f>
        <v>9</v>
      </c>
      <c r="G87" s="74">
        <f>IF(Selected_period="Total Year",1,IF(Selected_period=cc_month_no,1,0))</f>
        <v>1</v>
      </c>
      <c r="H87" s="74">
        <f t="shared" ref="H87" si="54">1*$E$48</f>
        <v>1</v>
      </c>
      <c r="I87" s="74">
        <f t="shared" si="3"/>
        <v>1</v>
      </c>
      <c r="J87" s="107" cm="1">
        <f t="array" ref="J87">SUM(Tracking[Amount]*(Tracking[Type]=cc_type)*(YEAR(Tracking[Effective Date])=Selected_Year) * (MONTH(Tracking[Effective Date])=cc_month_no))</f>
        <v>0</v>
      </c>
      <c r="K87" s="107" cm="1">
        <f t="array" aca="1" ref="K87" ca="1" xml:space="preserve"> INDEX(Budget_Planning!$E:$DY,expenses_total_row, MATCH(DATE(Selected_Year,cc_month_no,1), Budget_Planning!$E$9:$DY$9, 0))</f>
        <v>3050</v>
      </c>
      <c r="L87" s="107">
        <f ca="1">cc_budget-cc_tracked</f>
        <v>4650</v>
      </c>
      <c r="M87" s="139">
        <f ca="1">cc_in_focus*cc_show_type*MIN(cc_tracked,cc_budget)</f>
        <v>0</v>
      </c>
      <c r="N87" s="139">
        <f ca="1">cc_in_focus*cc_show_type*cc_show_remaining_budget*IF(cc_delta&gt;0,cc_delta,0)</f>
        <v>4650</v>
      </c>
      <c r="O87" s="139">
        <f ca="1">cc_in_focus*cc_show_type*IF(cc_delta&lt;0,ABS(cc_delta),0)</f>
        <v>0</v>
      </c>
      <c r="P87" s="139">
        <f ca="1">NOT(cc_in_focus)*cc_show_type*MIN(cc_tracked,cc_budget)</f>
        <v>0</v>
      </c>
      <c r="Q87" s="139">
        <f ca="1">NOT(cc_in_focus)*cc_show_type*cc_show_remaining_budget*IF(cc_delta&gt;0,cc_delta,0)</f>
        <v>0</v>
      </c>
      <c r="R87" s="139">
        <f ca="1">NOT(cc_in_focus)*cc_show_type*IF(cc_delta&lt;0,ABS(cc_delta),0)</f>
        <v>0</v>
      </c>
    </row>
    <row r="88" spans="4:18" x14ac:dyDescent="0.3">
      <c r="D88" s="181"/>
      <c r="E88" s="74" t="s">
        <v>16</v>
      </c>
      <c r="F88" s="74">
        <f t="shared" ref="F88" si="55">MONTH(D86)</f>
        <v>9</v>
      </c>
      <c r="G88" s="74">
        <f>IF(Selected_period="Total Year",1,IF(Selected_period=cc_month_no,1,0))</f>
        <v>1</v>
      </c>
      <c r="H88" s="74">
        <f t="shared" ref="H88" si="56">1*$E$49</f>
        <v>1</v>
      </c>
      <c r="I88" s="74">
        <f t="shared" si="3"/>
        <v>1</v>
      </c>
      <c r="J88" s="107" cm="1">
        <f t="array" ref="J88">SUM(Tracking[Amount]*(Tracking[Type]=cc_type)*(YEAR(Tracking[Effective Date])=Selected_Year) * (MONTH(Tracking[Effective Date])=cc_month_no))</f>
        <v>0</v>
      </c>
      <c r="K88" s="107" cm="1">
        <f t="array" aca="1" ref="K88" ca="1" xml:space="preserve"> INDEX(Budget_Planning!$E:$DY,savings_total_row, MATCH(DATE(Selected_Year,cc_month_no,1), Budget_Planning!$E$9:$DY$9, 0))</f>
        <v>2550</v>
      </c>
      <c r="L88" s="107">
        <f ca="1">cc_budget-cc_tracked</f>
        <v>4650</v>
      </c>
      <c r="M88" s="139">
        <f ca="1">cc_in_focus*cc_show_type*MIN(cc_tracked,cc_budget)</f>
        <v>0</v>
      </c>
      <c r="N88" s="139">
        <f ca="1">cc_in_focus*cc_show_type*cc_show_remaining_budget*IF(cc_delta&gt;0,cc_delta,0)</f>
        <v>4650</v>
      </c>
      <c r="O88" s="139">
        <f ca="1">cc_in_focus*cc_show_type*IF(cc_delta&lt;0,ABS(cc_delta),0)</f>
        <v>0</v>
      </c>
      <c r="P88" s="139">
        <f ca="1">NOT(cc_in_focus)*cc_show_type*MIN(cc_tracked,cc_budget)</f>
        <v>0</v>
      </c>
      <c r="Q88" s="139">
        <f ca="1">NOT(cc_in_focus)*cc_show_type*cc_show_remaining_budget*IF(cc_delta&gt;0,cc_delta,0)</f>
        <v>0</v>
      </c>
      <c r="R88" s="139">
        <f ca="1">NOT(cc_in_focus)*cc_show_type*IF(cc_delta&lt;0,ABS(cc_delta),0)</f>
        <v>0</v>
      </c>
    </row>
    <row r="89" spans="4:18" x14ac:dyDescent="0.3">
      <c r="D89" s="182"/>
      <c r="E89" s="138"/>
      <c r="F89" s="138"/>
      <c r="G89" s="138"/>
      <c r="H89" s="138"/>
      <c r="I89" s="138"/>
      <c r="J89" s="140"/>
      <c r="K89" s="140"/>
      <c r="L89" s="140"/>
      <c r="M89" s="138"/>
      <c r="N89" s="138"/>
      <c r="O89" s="138"/>
      <c r="P89" s="138"/>
      <c r="Q89" s="138"/>
      <c r="R89" s="138"/>
    </row>
    <row r="90" spans="4:18" x14ac:dyDescent="0.3">
      <c r="D90" s="183">
        <f>DATE(Selected_Year,10,1)</f>
        <v>44835</v>
      </c>
      <c r="E90" s="137" t="s">
        <v>6</v>
      </c>
      <c r="F90" s="74">
        <f t="shared" ref="F90" si="57">MONTH(D90)</f>
        <v>10</v>
      </c>
      <c r="G90" s="137">
        <f>IF(Selected_period="Total Year",1,IF(Selected_period=cc_month_no,1,0))</f>
        <v>1</v>
      </c>
      <c r="H90" s="74">
        <f t="shared" ref="H90" si="58">1*$E$47</f>
        <v>1</v>
      </c>
      <c r="I90" s="74">
        <f t="shared" ref="I90" si="59">1*$E$50</f>
        <v>1</v>
      </c>
      <c r="J90" s="107" cm="1">
        <f t="array" ref="J90">SUM(Tracking[Amount]*(Tracking[Type]=cc_type)*(YEAR(Tracking[Effective Date])=Selected_Year) * (MONTH(Tracking[Effective Date])=cc_month_no))</f>
        <v>0</v>
      </c>
      <c r="K90" s="107" cm="1">
        <f t="array" aca="1" ref="K90" ca="1" xml:space="preserve"> INDEX(Budget_Planning!$E:$DY,income_total_row, MATCH(DATE(Selected_Year,cc_month_no,1), Budget_Planning!$E$9:$DY$9, 0))</f>
        <v>5650</v>
      </c>
      <c r="L90" s="107">
        <f ca="1">cc_budget-cc_tracked</f>
        <v>4650</v>
      </c>
      <c r="M90" s="139">
        <f ca="1">cc_in_focus*cc_show_type*MIN(cc_tracked,cc_budget)</f>
        <v>0</v>
      </c>
      <c r="N90" s="139">
        <f ca="1">cc_in_focus*cc_show_type*cc_show_remaining_budget*IF(cc_delta&gt;0,cc_delta,0)</f>
        <v>4650</v>
      </c>
      <c r="O90" s="139">
        <f ca="1">cc_in_focus*cc_show_type*IF(cc_delta&lt;0,ABS(cc_delta),0)</f>
        <v>0</v>
      </c>
      <c r="P90" s="139">
        <f ca="1">NOT(cc_in_focus)*cc_show_type*MIN(cc_tracked,cc_budget)</f>
        <v>0</v>
      </c>
      <c r="Q90" s="139">
        <f ca="1">NOT(cc_in_focus)*cc_show_type*cc_show_remaining_budget*IF(cc_delta&gt;0,cc_delta,0)</f>
        <v>0</v>
      </c>
      <c r="R90" s="139">
        <f ca="1">NOT(cc_in_focus)*cc_show_type*IF(cc_delta&lt;0,ABS(cc_delta),0)</f>
        <v>0</v>
      </c>
    </row>
    <row r="91" spans="4:18" x14ac:dyDescent="0.3">
      <c r="D91" s="181"/>
      <c r="E91" s="74" t="s">
        <v>12</v>
      </c>
      <c r="F91" s="74">
        <f t="shared" ref="F91" si="60">MONTH(D90)</f>
        <v>10</v>
      </c>
      <c r="G91" s="74">
        <f>IF(Selected_period="Total Year",1,IF(Selected_period=cc_month_no,1,0))</f>
        <v>1</v>
      </c>
      <c r="H91" s="74">
        <f t="shared" ref="H91" si="61">1*$E$48</f>
        <v>1</v>
      </c>
      <c r="I91" s="74">
        <f t="shared" si="3"/>
        <v>1</v>
      </c>
      <c r="J91" s="107" cm="1">
        <f t="array" ref="J91">SUM(Tracking[Amount]*(Tracking[Type]=cc_type)*(YEAR(Tracking[Effective Date])=Selected_Year) * (MONTH(Tracking[Effective Date])=cc_month_no))</f>
        <v>0</v>
      </c>
      <c r="K91" s="107" cm="1">
        <f t="array" aca="1" ref="K91" ca="1" xml:space="preserve"> INDEX(Budget_Planning!$E:$DY,expenses_total_row, MATCH(DATE(Selected_Year,cc_month_no,1), Budget_Planning!$E$9:$DY$9, 0))</f>
        <v>2900</v>
      </c>
      <c r="L91" s="107">
        <f ca="1">cc_budget-cc_tracked</f>
        <v>4650</v>
      </c>
      <c r="M91" s="139">
        <f ca="1">cc_in_focus*cc_show_type*MIN(cc_tracked,cc_budget)</f>
        <v>0</v>
      </c>
      <c r="N91" s="139">
        <f ca="1">cc_in_focus*cc_show_type*cc_show_remaining_budget*IF(cc_delta&gt;0,cc_delta,0)</f>
        <v>4650</v>
      </c>
      <c r="O91" s="139">
        <f ca="1">cc_in_focus*cc_show_type*IF(cc_delta&lt;0,ABS(cc_delta),0)</f>
        <v>0</v>
      </c>
      <c r="P91" s="139">
        <f ca="1">NOT(cc_in_focus)*cc_show_type*MIN(cc_tracked,cc_budget)</f>
        <v>0</v>
      </c>
      <c r="Q91" s="139">
        <f ca="1">NOT(cc_in_focus)*cc_show_type*cc_show_remaining_budget*IF(cc_delta&gt;0,cc_delta,0)</f>
        <v>0</v>
      </c>
      <c r="R91" s="139">
        <f ca="1">NOT(cc_in_focus)*cc_show_type*IF(cc_delta&lt;0,ABS(cc_delta),0)</f>
        <v>0</v>
      </c>
    </row>
    <row r="92" spans="4:18" x14ac:dyDescent="0.3">
      <c r="D92" s="181"/>
      <c r="E92" s="74" t="s">
        <v>16</v>
      </c>
      <c r="F92" s="74">
        <f t="shared" ref="F92" si="62">MONTH(D90)</f>
        <v>10</v>
      </c>
      <c r="G92" s="74">
        <f>IF(Selected_period="Total Year",1,IF(Selected_period=cc_month_no,1,0))</f>
        <v>1</v>
      </c>
      <c r="H92" s="74">
        <f t="shared" ref="H92" si="63">1*$E$49</f>
        <v>1</v>
      </c>
      <c r="I92" s="74">
        <f t="shared" si="3"/>
        <v>1</v>
      </c>
      <c r="J92" s="107" cm="1">
        <f t="array" ref="J92">SUM(Tracking[Amount]*(Tracking[Type]=cc_type)*(YEAR(Tracking[Effective Date])=Selected_Year) * (MONTH(Tracking[Effective Date])=cc_month_no))</f>
        <v>0</v>
      </c>
      <c r="K92" s="107" cm="1">
        <f t="array" aca="1" ref="K92" ca="1" xml:space="preserve"> INDEX(Budget_Planning!$E:$DY,savings_total_row, MATCH(DATE(Selected_Year,cc_month_no,1), Budget_Planning!$E$9:$DY$9, 0))</f>
        <v>2750</v>
      </c>
      <c r="L92" s="107">
        <f ca="1">cc_budget-cc_tracked</f>
        <v>4650</v>
      </c>
      <c r="M92" s="139">
        <f ca="1">cc_in_focus*cc_show_type*MIN(cc_tracked,cc_budget)</f>
        <v>0</v>
      </c>
      <c r="N92" s="139">
        <f ca="1">cc_in_focus*cc_show_type*cc_show_remaining_budget*IF(cc_delta&gt;0,cc_delta,0)</f>
        <v>4650</v>
      </c>
      <c r="O92" s="139">
        <f ca="1">cc_in_focus*cc_show_type*IF(cc_delta&lt;0,ABS(cc_delta),0)</f>
        <v>0</v>
      </c>
      <c r="P92" s="139">
        <f ca="1">NOT(cc_in_focus)*cc_show_type*MIN(cc_tracked,cc_budget)</f>
        <v>0</v>
      </c>
      <c r="Q92" s="139">
        <f ca="1">NOT(cc_in_focus)*cc_show_type*cc_show_remaining_budget*IF(cc_delta&gt;0,cc_delta,0)</f>
        <v>0</v>
      </c>
      <c r="R92" s="139">
        <f ca="1">NOT(cc_in_focus)*cc_show_type*IF(cc_delta&lt;0,ABS(cc_delta),0)</f>
        <v>0</v>
      </c>
    </row>
    <row r="93" spans="4:18" x14ac:dyDescent="0.3">
      <c r="D93" s="182"/>
      <c r="E93" s="138"/>
      <c r="F93" s="138"/>
      <c r="G93" s="138"/>
      <c r="H93" s="138"/>
      <c r="I93" s="138"/>
      <c r="J93" s="140"/>
      <c r="K93" s="140"/>
      <c r="L93" s="140"/>
      <c r="M93" s="138"/>
      <c r="N93" s="138"/>
      <c r="O93" s="138"/>
      <c r="P93" s="138"/>
      <c r="Q93" s="138"/>
      <c r="R93" s="138"/>
    </row>
    <row r="94" spans="4:18" x14ac:dyDescent="0.3">
      <c r="D94" s="183">
        <f>DATE(Selected_Year,11,1)</f>
        <v>44866</v>
      </c>
      <c r="E94" s="137" t="s">
        <v>6</v>
      </c>
      <c r="F94" s="74">
        <f t="shared" ref="F94" si="64">MONTH(D94)</f>
        <v>11</v>
      </c>
      <c r="G94" s="137">
        <f>IF(Selected_period="Total Year",1,IF(Selected_period=cc_month_no,1,0))</f>
        <v>1</v>
      </c>
      <c r="H94" s="74">
        <f t="shared" ref="H94" si="65">1*$E$47</f>
        <v>1</v>
      </c>
      <c r="I94" s="74">
        <f t="shared" ref="I94" si="66">1*$E$50</f>
        <v>1</v>
      </c>
      <c r="J94" s="107" cm="1">
        <f t="array" ref="J94">SUM(Tracking[Amount]*(Tracking[Type]=cc_type)*(YEAR(Tracking[Effective Date])=Selected_Year) * (MONTH(Tracking[Effective Date])=cc_month_no))</f>
        <v>0</v>
      </c>
      <c r="K94" s="107" cm="1">
        <f t="array" aca="1" ref="K94" ca="1" xml:space="preserve"> INDEX(Budget_Planning!$E:$DY,income_total_row, MATCH(DATE(Selected_Year,cc_month_no,1), Budget_Planning!$E$9:$DY$9, 0))</f>
        <v>5550</v>
      </c>
      <c r="L94" s="107">
        <f ca="1">cc_budget-cc_tracked</f>
        <v>4650</v>
      </c>
      <c r="M94" s="139">
        <f ca="1">cc_in_focus*cc_show_type*MIN(cc_tracked,cc_budget)</f>
        <v>0</v>
      </c>
      <c r="N94" s="139">
        <f ca="1">cc_in_focus*cc_show_type*cc_show_remaining_budget*IF(cc_delta&gt;0,cc_delta,0)</f>
        <v>4650</v>
      </c>
      <c r="O94" s="139">
        <f ca="1">cc_in_focus*cc_show_type*IF(cc_delta&lt;0,ABS(cc_delta),0)</f>
        <v>0</v>
      </c>
      <c r="P94" s="139">
        <f ca="1">NOT(cc_in_focus)*cc_show_type*MIN(cc_tracked,cc_budget)</f>
        <v>0</v>
      </c>
      <c r="Q94" s="139">
        <f ca="1">NOT(cc_in_focus)*cc_show_type*cc_show_remaining_budget*IF(cc_delta&gt;0,cc_delta,0)</f>
        <v>0</v>
      </c>
      <c r="R94" s="139">
        <f ca="1">NOT(cc_in_focus)*cc_show_type*IF(cc_delta&lt;0,ABS(cc_delta),0)</f>
        <v>0</v>
      </c>
    </row>
    <row r="95" spans="4:18" x14ac:dyDescent="0.3">
      <c r="D95" s="181"/>
      <c r="E95" s="74" t="s">
        <v>12</v>
      </c>
      <c r="F95" s="74">
        <f t="shared" ref="F95" si="67">MONTH(D94)</f>
        <v>11</v>
      </c>
      <c r="G95" s="74">
        <f>IF(Selected_period="Total Year",1,IF(Selected_period=cc_month_no,1,0))</f>
        <v>1</v>
      </c>
      <c r="H95" s="74">
        <f t="shared" ref="H95" si="68">1*$E$48</f>
        <v>1</v>
      </c>
      <c r="I95" s="74">
        <f t="shared" si="3"/>
        <v>1</v>
      </c>
      <c r="J95" s="107" cm="1">
        <f t="array" ref="J95">SUM(Tracking[Amount]*(Tracking[Type]=cc_type)*(YEAR(Tracking[Effective Date])=Selected_Year) * (MONTH(Tracking[Effective Date])=cc_month_no))</f>
        <v>0</v>
      </c>
      <c r="K95" s="107" cm="1">
        <f t="array" aca="1" ref="K95" ca="1" xml:space="preserve"> INDEX(Budget_Planning!$E:$DY,expenses_total_row, MATCH(DATE(Selected_Year,cc_month_no,1), Budget_Planning!$E$9:$DY$9, 0))</f>
        <v>2900</v>
      </c>
      <c r="L95" s="107">
        <f ca="1">cc_budget-cc_tracked</f>
        <v>4650</v>
      </c>
      <c r="M95" s="139">
        <f ca="1">cc_in_focus*cc_show_type*MIN(cc_tracked,cc_budget)</f>
        <v>0</v>
      </c>
      <c r="N95" s="139">
        <f ca="1">cc_in_focus*cc_show_type*cc_show_remaining_budget*IF(cc_delta&gt;0,cc_delta,0)</f>
        <v>4650</v>
      </c>
      <c r="O95" s="139">
        <f ca="1">cc_in_focus*cc_show_type*IF(cc_delta&lt;0,ABS(cc_delta),0)</f>
        <v>0</v>
      </c>
      <c r="P95" s="139">
        <f ca="1">NOT(cc_in_focus)*cc_show_type*MIN(cc_tracked,cc_budget)</f>
        <v>0</v>
      </c>
      <c r="Q95" s="139">
        <f ca="1">NOT(cc_in_focus)*cc_show_type*cc_show_remaining_budget*IF(cc_delta&gt;0,cc_delta,0)</f>
        <v>0</v>
      </c>
      <c r="R95" s="139">
        <f ca="1">NOT(cc_in_focus)*cc_show_type*IF(cc_delta&lt;0,ABS(cc_delta),0)</f>
        <v>0</v>
      </c>
    </row>
    <row r="96" spans="4:18" x14ac:dyDescent="0.3">
      <c r="D96" s="181"/>
      <c r="E96" s="74" t="s">
        <v>16</v>
      </c>
      <c r="F96" s="74">
        <f t="shared" ref="F96" si="69">MONTH(D94)</f>
        <v>11</v>
      </c>
      <c r="G96" s="74">
        <f>IF(Selected_period="Total Year",1,IF(Selected_period=cc_month_no,1,0))</f>
        <v>1</v>
      </c>
      <c r="H96" s="74">
        <f t="shared" ref="H96" si="70">1*$E$49</f>
        <v>1</v>
      </c>
      <c r="I96" s="74">
        <f t="shared" si="3"/>
        <v>1</v>
      </c>
      <c r="J96" s="107" cm="1">
        <f t="array" ref="J96">SUM(Tracking[Amount]*(Tracking[Type]=cc_type)*(YEAR(Tracking[Effective Date])=Selected_Year) * (MONTH(Tracking[Effective Date])=cc_month_no))</f>
        <v>0</v>
      </c>
      <c r="K96" s="107" cm="1">
        <f t="array" aca="1" ref="K96" ca="1" xml:space="preserve"> INDEX(Budget_Planning!$E:$DY,savings_total_row, MATCH(DATE(Selected_Year,cc_month_no,1), Budget_Planning!$E$9:$DY$9, 0))</f>
        <v>2650</v>
      </c>
      <c r="L96" s="107">
        <f ca="1">cc_budget-cc_tracked</f>
        <v>4650</v>
      </c>
      <c r="M96" s="139">
        <f ca="1">cc_in_focus*cc_show_type*MIN(cc_tracked,cc_budget)</f>
        <v>0</v>
      </c>
      <c r="N96" s="139">
        <f ca="1">cc_in_focus*cc_show_type*cc_show_remaining_budget*IF(cc_delta&gt;0,cc_delta,0)</f>
        <v>4650</v>
      </c>
      <c r="O96" s="139">
        <f ca="1">cc_in_focus*cc_show_type*IF(cc_delta&lt;0,ABS(cc_delta),0)</f>
        <v>0</v>
      </c>
      <c r="P96" s="139">
        <f ca="1">NOT(cc_in_focus)*cc_show_type*MIN(cc_tracked,cc_budget)</f>
        <v>0</v>
      </c>
      <c r="Q96" s="139">
        <f ca="1">NOT(cc_in_focus)*cc_show_type*cc_show_remaining_budget*IF(cc_delta&gt;0,cc_delta,0)</f>
        <v>0</v>
      </c>
      <c r="R96" s="139">
        <f ca="1">NOT(cc_in_focus)*cc_show_type*IF(cc_delta&lt;0,ABS(cc_delta),0)</f>
        <v>0</v>
      </c>
    </row>
    <row r="97" spans="4:18" x14ac:dyDescent="0.3">
      <c r="D97" s="182"/>
      <c r="E97" s="138"/>
      <c r="F97" s="138"/>
      <c r="G97" s="138"/>
      <c r="H97" s="138"/>
      <c r="I97" s="138"/>
      <c r="J97" s="140"/>
      <c r="K97" s="140"/>
      <c r="L97" s="140"/>
      <c r="M97" s="138"/>
      <c r="N97" s="138"/>
      <c r="O97" s="138"/>
      <c r="P97" s="138"/>
      <c r="Q97" s="138"/>
      <c r="R97" s="138"/>
    </row>
    <row r="98" spans="4:18" x14ac:dyDescent="0.3">
      <c r="D98" s="183">
        <f>DATE(Selected_Year,12,1)</f>
        <v>44896</v>
      </c>
      <c r="E98" s="137" t="s">
        <v>6</v>
      </c>
      <c r="F98" s="74">
        <f t="shared" ref="F98" si="71">MONTH(D98)</f>
        <v>12</v>
      </c>
      <c r="G98" s="137">
        <f>IF(Selected_period="Total Year",1,IF(Selected_period=cc_month_no,1,0))</f>
        <v>1</v>
      </c>
      <c r="H98" s="74">
        <f t="shared" ref="H98" si="72">1*$E$47</f>
        <v>1</v>
      </c>
      <c r="I98" s="74">
        <f t="shared" ref="I98" si="73">1*$E$50</f>
        <v>1</v>
      </c>
      <c r="J98" s="107" cm="1">
        <f t="array" ref="J98">SUM(Tracking[Amount]*(Tracking[Type]=cc_type)*(YEAR(Tracking[Effective Date])=Selected_Year) * (MONTH(Tracking[Effective Date])=cc_month_no))</f>
        <v>0</v>
      </c>
      <c r="K98" s="107" cm="1">
        <f t="array" aca="1" ref="K98" ca="1" xml:space="preserve"> INDEX(Budget_Planning!$E:$DY,income_total_row, MATCH(DATE(Selected_Year,cc_month_no,1), Budget_Planning!$E$9:$DY$9, 0))</f>
        <v>5600</v>
      </c>
      <c r="L98" s="107">
        <f ca="1">cc_budget-cc_tracked</f>
        <v>4650</v>
      </c>
      <c r="M98" s="139">
        <f ca="1">cc_in_focus*cc_show_type*MIN(cc_tracked,cc_budget)</f>
        <v>0</v>
      </c>
      <c r="N98" s="139">
        <f ca="1">cc_in_focus*cc_show_type*cc_show_remaining_budget*IF(cc_delta&gt;0,cc_delta,0)</f>
        <v>4650</v>
      </c>
      <c r="O98" s="139">
        <f ca="1">cc_in_focus*cc_show_type*IF(cc_delta&lt;0,ABS(cc_delta),0)</f>
        <v>0</v>
      </c>
      <c r="P98" s="139">
        <f ca="1">NOT(cc_in_focus)*cc_show_type*MIN(cc_tracked,cc_budget)</f>
        <v>0</v>
      </c>
      <c r="Q98" s="139">
        <f ca="1">NOT(cc_in_focus)*cc_show_type*cc_show_remaining_budget*IF(cc_delta&gt;0,cc_delta,0)</f>
        <v>0</v>
      </c>
      <c r="R98" s="139">
        <f ca="1">NOT(cc_in_focus)*cc_show_type*IF(cc_delta&lt;0,ABS(cc_delta),0)</f>
        <v>0</v>
      </c>
    </row>
    <row r="99" spans="4:18" x14ac:dyDescent="0.3">
      <c r="D99" s="181"/>
      <c r="E99" s="74" t="s">
        <v>12</v>
      </c>
      <c r="F99" s="74">
        <f t="shared" ref="F99" si="74">MONTH(D98)</f>
        <v>12</v>
      </c>
      <c r="G99" s="74">
        <f>IF(Selected_period="Total Year",1,IF(Selected_period=cc_month_no,1,0))</f>
        <v>1</v>
      </c>
      <c r="H99" s="74">
        <f t="shared" ref="H99" si="75">1*$E$48</f>
        <v>1</v>
      </c>
      <c r="I99" s="74">
        <f t="shared" si="3"/>
        <v>1</v>
      </c>
      <c r="J99" s="107" cm="1">
        <f t="array" ref="J99">SUM(Tracking[Amount]*(Tracking[Type]=cc_type)*(YEAR(Tracking[Effective Date])=Selected_Year) * (MONTH(Tracking[Effective Date])=cc_month_no))</f>
        <v>0</v>
      </c>
      <c r="K99" s="107" cm="1">
        <f t="array" aca="1" ref="K99" ca="1" xml:space="preserve"> INDEX(Budget_Planning!$E:$DY,expenses_total_row, MATCH(DATE(Selected_Year,cc_month_no,1), Budget_Planning!$E$9:$DY$9, 0))</f>
        <v>3350</v>
      </c>
      <c r="L99" s="107">
        <f ca="1">cc_budget-cc_tracked</f>
        <v>4650</v>
      </c>
      <c r="M99" s="139">
        <f ca="1">cc_in_focus*cc_show_type*MIN(cc_tracked,cc_budget)</f>
        <v>0</v>
      </c>
      <c r="N99" s="139">
        <f ca="1">cc_in_focus*cc_show_type*cc_show_remaining_budget*IF(cc_delta&gt;0,cc_delta,0)</f>
        <v>4650</v>
      </c>
      <c r="O99" s="139">
        <f ca="1">cc_in_focus*cc_show_type*IF(cc_delta&lt;0,ABS(cc_delta),0)</f>
        <v>0</v>
      </c>
      <c r="P99" s="139">
        <f ca="1">NOT(cc_in_focus)*cc_show_type*MIN(cc_tracked,cc_budget)</f>
        <v>0</v>
      </c>
      <c r="Q99" s="139">
        <f ca="1">NOT(cc_in_focus)*cc_show_type*cc_show_remaining_budget*IF(cc_delta&gt;0,cc_delta,0)</f>
        <v>0</v>
      </c>
      <c r="R99" s="139">
        <f ca="1">NOT(cc_in_focus)*cc_show_type*IF(cc_delta&lt;0,ABS(cc_delta),0)</f>
        <v>0</v>
      </c>
    </row>
    <row r="100" spans="4:18" x14ac:dyDescent="0.3">
      <c r="D100" s="181"/>
      <c r="E100" s="74" t="s">
        <v>16</v>
      </c>
      <c r="F100" s="74">
        <f t="shared" ref="F100" si="76">MONTH(D98)</f>
        <v>12</v>
      </c>
      <c r="G100" s="74">
        <f>IF(Selected_period="Total Year",1,IF(Selected_period=cc_month_no,1,0))</f>
        <v>1</v>
      </c>
      <c r="H100" s="74">
        <f t="shared" ref="H100" si="77">1*$E$49</f>
        <v>1</v>
      </c>
      <c r="I100" s="74">
        <f t="shared" si="3"/>
        <v>1</v>
      </c>
      <c r="J100" s="107" cm="1">
        <f t="array" ref="J100">SUM(Tracking[Amount]*(Tracking[Type]=cc_type)*(YEAR(Tracking[Effective Date])=Selected_Year) * (MONTH(Tracking[Effective Date])=cc_month_no))</f>
        <v>0</v>
      </c>
      <c r="K100" s="107" cm="1">
        <f t="array" aca="1" ref="K100" ca="1" xml:space="preserve"> INDEX(Budget_Planning!$E:$DY,savings_total_row, MATCH(DATE(Selected_Year,cc_month_no,1), Budget_Planning!$E$9:$DY$9, 0))</f>
        <v>2250</v>
      </c>
      <c r="L100" s="107">
        <f ca="1">cc_budget-cc_tracked</f>
        <v>4650</v>
      </c>
      <c r="M100" s="139">
        <f ca="1">cc_in_focus*cc_show_type*MIN(cc_tracked,cc_budget)</f>
        <v>0</v>
      </c>
      <c r="N100" s="139">
        <f ca="1">cc_in_focus*cc_show_type*cc_show_remaining_budget*IF(cc_delta&gt;0,cc_delta,0)</f>
        <v>4650</v>
      </c>
      <c r="O100" s="139">
        <f ca="1">cc_in_focus*cc_show_type*IF(cc_delta&lt;0,ABS(cc_delta),0)</f>
        <v>0</v>
      </c>
      <c r="P100" s="139">
        <f ca="1">NOT(cc_in_focus)*cc_show_type*MIN(cc_tracked,cc_budget)</f>
        <v>0</v>
      </c>
      <c r="Q100" s="139">
        <f ca="1">NOT(cc_in_focus)*cc_show_type*cc_show_remaining_budget*IF(cc_delta&gt;0,cc_delta,0)</f>
        <v>0</v>
      </c>
      <c r="R100" s="139">
        <f ca="1">NOT(cc_in_focus)*cc_show_type*IF(cc_delta&lt;0,ABS(cc_delta),0)</f>
        <v>0</v>
      </c>
    </row>
    <row r="101" spans="4:18" x14ac:dyDescent="0.3">
      <c r="D101" s="182"/>
      <c r="E101" s="138"/>
      <c r="F101" s="138"/>
      <c r="G101" s="138"/>
      <c r="H101" s="138"/>
      <c r="I101" s="138"/>
      <c r="J101" s="140"/>
      <c r="K101" s="140"/>
      <c r="L101" s="140"/>
      <c r="M101" s="138"/>
      <c r="N101" s="138"/>
      <c r="O101" s="138"/>
      <c r="P101" s="138"/>
      <c r="Q101" s="138"/>
      <c r="R101" s="138"/>
    </row>
    <row r="102" spans="4:18" x14ac:dyDescent="0.3">
      <c r="D102" s="18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</row>
    <row r="103" spans="4:18" x14ac:dyDescent="0.3">
      <c r="D103" s="18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</row>
    <row r="104" spans="4:18" x14ac:dyDescent="0.3">
      <c r="D104" s="18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</row>
    <row r="105" spans="4:18" x14ac:dyDescent="0.3">
      <c r="D105" s="18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</row>
  </sheetData>
  <mergeCells count="17">
    <mergeCell ref="D98:D101"/>
    <mergeCell ref="D102:D105"/>
    <mergeCell ref="D78:D81"/>
    <mergeCell ref="D82:D85"/>
    <mergeCell ref="D86:D89"/>
    <mergeCell ref="D90:D93"/>
    <mergeCell ref="D94:D97"/>
    <mergeCell ref="D58:D61"/>
    <mergeCell ref="D62:D65"/>
    <mergeCell ref="D66:D69"/>
    <mergeCell ref="D70:D73"/>
    <mergeCell ref="D74:D77"/>
    <mergeCell ref="C6:F6"/>
    <mergeCell ref="D17:G17"/>
    <mergeCell ref="M52:O52"/>
    <mergeCell ref="P52:R52"/>
    <mergeCell ref="D54:D57"/>
  </mergeCells>
  <phoneticPr fontId="3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40</vt:i4>
      </vt:variant>
    </vt:vector>
  </HeadingPairs>
  <TitlesOfParts>
    <vt:vector size="46" baseType="lpstr">
      <vt:lpstr>Settings</vt:lpstr>
      <vt:lpstr>Budget_Planning</vt:lpstr>
      <vt:lpstr>Budget_Tracking</vt:lpstr>
      <vt:lpstr>Budget_Dashboard</vt:lpstr>
      <vt:lpstr>LookUpData</vt:lpstr>
      <vt:lpstr>Calculations</vt:lpstr>
      <vt:lpstr>Budget_Dashboard!budget</vt:lpstr>
      <vt:lpstr>Budget_Dashboard!budget_range</vt:lpstr>
      <vt:lpstr>Budget_Dashboard!budget_rank</vt:lpstr>
      <vt:lpstr>Calculations!cc_budget</vt:lpstr>
      <vt:lpstr>cc_budget</vt:lpstr>
      <vt:lpstr>Calculations!cc_delta</vt:lpstr>
      <vt:lpstr>Calculations!cc_in_focus</vt:lpstr>
      <vt:lpstr>Calculations!cc_month_no</vt:lpstr>
      <vt:lpstr>Calculations!cc_show_remaining_budget</vt:lpstr>
      <vt:lpstr>Calculations!cc_show_type</vt:lpstr>
      <vt:lpstr>Calculations!cc_tracked</vt:lpstr>
      <vt:lpstr>Calculations!cc_type</vt:lpstr>
      <vt:lpstr>Budget_Dashboard!comb_rank</vt:lpstr>
      <vt:lpstr>Budget_Dashboard!comb_rank_norm</vt:lpstr>
      <vt:lpstr>Budget_Dashboard!comb_rank_norm_run_range</vt:lpstr>
      <vt:lpstr>Budget_Dashboard!comb_rank_range</vt:lpstr>
      <vt:lpstr>Budget_Dashboard!comb_rank_unique</vt:lpstr>
      <vt:lpstr>Budget_Dashboard!header_row_id</vt:lpstr>
      <vt:lpstr>Budget_Dashboard!is_cat</vt:lpstr>
      <vt:lpstr>Budget_Dashboard!is_empty</vt:lpstr>
      <vt:lpstr>Budget_Dashboard!is_header</vt:lpstr>
      <vt:lpstr>Budget_Dashboard!is_total</vt:lpstr>
      <vt:lpstr>Budget_Dashboard!item</vt:lpstr>
      <vt:lpstr>Budget_Dashboard!out_budget</vt:lpstr>
      <vt:lpstr>Budget_Dashboard!out_percentage_completed</vt:lpstr>
      <vt:lpstr>Budget_Dashboard!out_tracked</vt:lpstr>
      <vt:lpstr>Budget_Dashboard!row_id</vt:lpstr>
      <vt:lpstr>savings_rate_calculation_type</vt:lpstr>
      <vt:lpstr>Selected_period</vt:lpstr>
      <vt:lpstr>selected_period_display</vt:lpstr>
      <vt:lpstr>Selected_Year</vt:lpstr>
      <vt:lpstr>shift_late_income_starting_day</vt:lpstr>
      <vt:lpstr>shift_late_income_status</vt:lpstr>
      <vt:lpstr>Budget_Dashboard!sort_max_row</vt:lpstr>
      <vt:lpstr>Budget_Dashboard!sort_min_row</vt:lpstr>
      <vt:lpstr>starting_year</vt:lpstr>
      <vt:lpstr>Budget_Dashboard!tracked</vt:lpstr>
      <vt:lpstr>Budget_Dashboard!tracked_range</vt:lpstr>
      <vt:lpstr>Budget_Dashboard!tracked_rank</vt:lpstr>
      <vt:lpstr>Budget_Dashboard!type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Patil</dc:creator>
  <cp:lastModifiedBy>Akshay Patil</cp:lastModifiedBy>
  <dcterms:created xsi:type="dcterms:W3CDTF">2026-05-15T06:53:52Z</dcterms:created>
  <dcterms:modified xsi:type="dcterms:W3CDTF">2026-05-21T09:00:31Z</dcterms:modified>
</cp:coreProperties>
</file>